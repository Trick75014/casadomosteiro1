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ck SALVADOR\Documents\Immobilier\Locations - Airbnb - Booking\Casa do mosteiro - Aluguer\"/>
    </mc:Choice>
  </mc:AlternateContent>
  <xr:revisionPtr revIDLastSave="0" documentId="13_ncr:1_{11E93B96-79CD-4183-A1C1-FD85688CC7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📋 Réservations" sheetId="1" r:id="rId1"/>
    <sheet name="Lucro €" sheetId="3" r:id="rId2"/>
    <sheet name="📓 Bloc-notes" sheetId="2" r:id="rId3"/>
    <sheet name="Comissoes Booking - Marco" sheetId="13" state="hidden" r:id="rId4"/>
    <sheet name="Comissoes Booking - Abril" sheetId="14" state="hidden" r:id="rId5"/>
    <sheet name="Comissoes Booking - Maio" sheetId="15" state="hidden" r:id="rId6"/>
    <sheet name="Comissoes Booking - Junho" sheetId="16" state="hidden" r:id="rId7"/>
    <sheet name="Comissoes Booking - Agosto" sheetId="17" r:id="rId8"/>
    <sheet name="Comissoes Booking - Setembro" sheetId="19" r:id="rId9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1" l="1"/>
  <c r="C11" i="3"/>
  <c r="I5" i="19"/>
  <c r="I6" i="19" s="1"/>
  <c r="V3" i="19"/>
  <c r="N3" i="19"/>
  <c r="M3" i="19"/>
  <c r="L3" i="19"/>
  <c r="I3" i="19"/>
  <c r="J3" i="19" s="1"/>
  <c r="K3" i="19" s="1"/>
  <c r="F3" i="19"/>
  <c r="V2" i="19"/>
  <c r="N2" i="19"/>
  <c r="M2" i="19"/>
  <c r="L2" i="19"/>
  <c r="I2" i="19"/>
  <c r="J2" i="19" s="1"/>
  <c r="K2" i="19" s="1"/>
  <c r="F2" i="19"/>
  <c r="I7" i="17"/>
  <c r="I6" i="17"/>
  <c r="V4" i="17"/>
  <c r="N4" i="17"/>
  <c r="M4" i="17"/>
  <c r="L4" i="17"/>
  <c r="J4" i="17"/>
  <c r="K4" i="17" s="1"/>
  <c r="F4" i="17"/>
  <c r="V3" i="17"/>
  <c r="N3" i="17"/>
  <c r="M3" i="17"/>
  <c r="L3" i="17"/>
  <c r="I3" i="17"/>
  <c r="J3" i="17" s="1"/>
  <c r="K3" i="17" s="1"/>
  <c r="F3" i="17"/>
  <c r="V2" i="17"/>
  <c r="N2" i="17"/>
  <c r="M2" i="17"/>
  <c r="L2" i="17"/>
  <c r="I2" i="17"/>
  <c r="J2" i="17" s="1"/>
  <c r="K2" i="17" s="1"/>
  <c r="F2" i="17"/>
  <c r="I5" i="16"/>
  <c r="I4" i="16"/>
  <c r="V2" i="16"/>
  <c r="N2" i="16"/>
  <c r="M2" i="16"/>
  <c r="L2" i="16"/>
  <c r="I2" i="16"/>
  <c r="J2" i="16" s="1"/>
  <c r="K2" i="16" s="1"/>
  <c r="F2" i="16"/>
  <c r="I5" i="15"/>
  <c r="I4" i="15"/>
  <c r="V2" i="15"/>
  <c r="N2" i="15"/>
  <c r="M2" i="15"/>
  <c r="L2" i="15"/>
  <c r="I2" i="15"/>
  <c r="J2" i="15" s="1"/>
  <c r="K2" i="15" s="1"/>
  <c r="F2" i="15"/>
  <c r="I5" i="14"/>
  <c r="I4" i="14"/>
  <c r="V2" i="14"/>
  <c r="N2" i="14"/>
  <c r="M2" i="14"/>
  <c r="L2" i="14"/>
  <c r="I2" i="14"/>
  <c r="J2" i="14" s="1"/>
  <c r="K2" i="14" s="1"/>
  <c r="F2" i="14"/>
  <c r="I6" i="13"/>
  <c r="I5" i="13"/>
  <c r="V3" i="13"/>
  <c r="N3" i="13"/>
  <c r="M3" i="13"/>
  <c r="L3" i="13"/>
  <c r="I3" i="13"/>
  <c r="J3" i="13" s="1"/>
  <c r="K3" i="13" s="1"/>
  <c r="F3" i="13"/>
  <c r="V2" i="13"/>
  <c r="N2" i="13"/>
  <c r="M2" i="13"/>
  <c r="L2" i="13"/>
  <c r="I2" i="13"/>
  <c r="J2" i="13" s="1"/>
  <c r="K2" i="13" s="1"/>
  <c r="F2" i="13"/>
  <c r="H18" i="3"/>
  <c r="G18" i="3"/>
  <c r="F18" i="3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" i="1"/>
  <c r="I20" i="1"/>
  <c r="J19" i="1"/>
  <c r="K19" i="1" s="1"/>
  <c r="F16" i="1"/>
  <c r="I16" i="1"/>
  <c r="J16" i="1" s="1"/>
  <c r="K16" i="1" s="1"/>
  <c r="L16" i="1"/>
  <c r="M16" i="1"/>
  <c r="N16" i="1"/>
  <c r="F17" i="1"/>
  <c r="I17" i="1"/>
  <c r="J17" i="1" s="1"/>
  <c r="K17" i="1" s="1"/>
  <c r="L17" i="1"/>
  <c r="M17" i="1"/>
  <c r="N17" i="1"/>
  <c r="K14" i="1"/>
  <c r="N13" i="1"/>
  <c r="M13" i="1"/>
  <c r="L13" i="1"/>
  <c r="I13" i="1"/>
  <c r="J13" i="1" s="1"/>
  <c r="K13" i="1" s="1"/>
  <c r="F13" i="1"/>
  <c r="N11" i="1"/>
  <c r="M11" i="1"/>
  <c r="L11" i="1"/>
  <c r="I11" i="1"/>
  <c r="J11" i="1" s="1"/>
  <c r="K11" i="1" s="1"/>
  <c r="F11" i="1"/>
  <c r="N12" i="1"/>
  <c r="M12" i="1"/>
  <c r="L12" i="1"/>
  <c r="I12" i="1"/>
  <c r="J12" i="1" s="1"/>
  <c r="K12" i="1" s="1"/>
  <c r="F12" i="1"/>
  <c r="N14" i="1"/>
  <c r="F14" i="1"/>
  <c r="N15" i="1"/>
  <c r="M15" i="1"/>
  <c r="L15" i="1"/>
  <c r="J15" i="1"/>
  <c r="K15" i="1" s="1"/>
  <c r="I15" i="1"/>
  <c r="F15" i="1"/>
  <c r="H51" i="1"/>
  <c r="N50" i="1"/>
  <c r="M50" i="1"/>
  <c r="L50" i="1"/>
  <c r="J50" i="1"/>
  <c r="K50" i="1" s="1"/>
  <c r="I50" i="1"/>
  <c r="F50" i="1"/>
  <c r="N49" i="1"/>
  <c r="M49" i="1"/>
  <c r="L49" i="1"/>
  <c r="J49" i="1"/>
  <c r="K49" i="1" s="1"/>
  <c r="I49" i="1"/>
  <c r="F49" i="1"/>
  <c r="N48" i="1"/>
  <c r="M48" i="1"/>
  <c r="L48" i="1"/>
  <c r="J48" i="1"/>
  <c r="K48" i="1" s="1"/>
  <c r="I48" i="1"/>
  <c r="F48" i="1"/>
  <c r="N47" i="1"/>
  <c r="M47" i="1"/>
  <c r="L47" i="1"/>
  <c r="J47" i="1"/>
  <c r="K47" i="1" s="1"/>
  <c r="I47" i="1"/>
  <c r="F47" i="1"/>
  <c r="N46" i="1"/>
  <c r="M46" i="1"/>
  <c r="L46" i="1"/>
  <c r="J46" i="1"/>
  <c r="K46" i="1" s="1"/>
  <c r="I46" i="1"/>
  <c r="F46" i="1"/>
  <c r="N45" i="1"/>
  <c r="M45" i="1"/>
  <c r="L45" i="1"/>
  <c r="J45" i="1"/>
  <c r="K45" i="1" s="1"/>
  <c r="I45" i="1"/>
  <c r="F45" i="1"/>
  <c r="N44" i="1"/>
  <c r="M44" i="1"/>
  <c r="L44" i="1"/>
  <c r="J44" i="1"/>
  <c r="K44" i="1" s="1"/>
  <c r="I44" i="1"/>
  <c r="F44" i="1"/>
  <c r="N43" i="1"/>
  <c r="M43" i="1"/>
  <c r="L43" i="1"/>
  <c r="J43" i="1"/>
  <c r="K43" i="1" s="1"/>
  <c r="I43" i="1"/>
  <c r="F43" i="1"/>
  <c r="N42" i="1"/>
  <c r="M42" i="1"/>
  <c r="L42" i="1"/>
  <c r="J42" i="1"/>
  <c r="K42" i="1" s="1"/>
  <c r="I42" i="1"/>
  <c r="F42" i="1"/>
  <c r="N41" i="1"/>
  <c r="M41" i="1"/>
  <c r="L41" i="1"/>
  <c r="J41" i="1"/>
  <c r="K41" i="1" s="1"/>
  <c r="I41" i="1"/>
  <c r="F41" i="1"/>
  <c r="N40" i="1"/>
  <c r="M40" i="1"/>
  <c r="L40" i="1"/>
  <c r="J40" i="1"/>
  <c r="K40" i="1" s="1"/>
  <c r="I40" i="1"/>
  <c r="F40" i="1"/>
  <c r="N39" i="1"/>
  <c r="M39" i="1"/>
  <c r="L39" i="1"/>
  <c r="J39" i="1"/>
  <c r="K39" i="1" s="1"/>
  <c r="I39" i="1"/>
  <c r="F39" i="1"/>
  <c r="N38" i="1"/>
  <c r="M38" i="1"/>
  <c r="L38" i="1"/>
  <c r="J38" i="1"/>
  <c r="K38" i="1" s="1"/>
  <c r="I38" i="1"/>
  <c r="F38" i="1"/>
  <c r="N37" i="1"/>
  <c r="M37" i="1"/>
  <c r="L37" i="1"/>
  <c r="J37" i="1"/>
  <c r="K37" i="1" s="1"/>
  <c r="I37" i="1"/>
  <c r="F37" i="1"/>
  <c r="N36" i="1"/>
  <c r="M36" i="1"/>
  <c r="L36" i="1"/>
  <c r="J36" i="1"/>
  <c r="K36" i="1" s="1"/>
  <c r="I36" i="1"/>
  <c r="F36" i="1"/>
  <c r="N35" i="1"/>
  <c r="M35" i="1"/>
  <c r="L35" i="1"/>
  <c r="J35" i="1"/>
  <c r="K35" i="1" s="1"/>
  <c r="I35" i="1"/>
  <c r="F35" i="1"/>
  <c r="N34" i="1"/>
  <c r="M34" i="1"/>
  <c r="L34" i="1"/>
  <c r="J34" i="1"/>
  <c r="K34" i="1" s="1"/>
  <c r="I34" i="1"/>
  <c r="F34" i="1"/>
  <c r="N33" i="1"/>
  <c r="M33" i="1"/>
  <c r="L33" i="1"/>
  <c r="J33" i="1"/>
  <c r="K33" i="1" s="1"/>
  <c r="I33" i="1"/>
  <c r="F33" i="1"/>
  <c r="N32" i="1"/>
  <c r="M32" i="1"/>
  <c r="L32" i="1"/>
  <c r="J32" i="1"/>
  <c r="K32" i="1" s="1"/>
  <c r="I32" i="1"/>
  <c r="F32" i="1"/>
  <c r="N31" i="1"/>
  <c r="M31" i="1"/>
  <c r="L31" i="1"/>
  <c r="J31" i="1"/>
  <c r="K31" i="1" s="1"/>
  <c r="I31" i="1"/>
  <c r="F31" i="1"/>
  <c r="N30" i="1"/>
  <c r="M30" i="1"/>
  <c r="L30" i="1"/>
  <c r="J30" i="1"/>
  <c r="K30" i="1" s="1"/>
  <c r="I30" i="1"/>
  <c r="F30" i="1"/>
  <c r="N29" i="1"/>
  <c r="M29" i="1"/>
  <c r="L29" i="1"/>
  <c r="J29" i="1"/>
  <c r="K29" i="1" s="1"/>
  <c r="I29" i="1"/>
  <c r="F29" i="1"/>
  <c r="N28" i="1"/>
  <c r="M28" i="1"/>
  <c r="L28" i="1"/>
  <c r="I28" i="1"/>
  <c r="J28" i="1" s="1"/>
  <c r="K28" i="1" s="1"/>
  <c r="F28" i="1"/>
  <c r="N27" i="1"/>
  <c r="M27" i="1"/>
  <c r="L27" i="1"/>
  <c r="I27" i="1"/>
  <c r="J27" i="1" s="1"/>
  <c r="K27" i="1" s="1"/>
  <c r="F27" i="1"/>
  <c r="N26" i="1"/>
  <c r="M26" i="1"/>
  <c r="L26" i="1"/>
  <c r="I26" i="1"/>
  <c r="J26" i="1" s="1"/>
  <c r="K26" i="1" s="1"/>
  <c r="F26" i="1"/>
  <c r="N25" i="1"/>
  <c r="M25" i="1"/>
  <c r="L25" i="1"/>
  <c r="I25" i="1"/>
  <c r="J25" i="1" s="1"/>
  <c r="K25" i="1" s="1"/>
  <c r="F25" i="1"/>
  <c r="N24" i="1"/>
  <c r="L24" i="1"/>
  <c r="M24" i="1" s="1"/>
  <c r="J24" i="1"/>
  <c r="K24" i="1" s="1"/>
  <c r="F24" i="1"/>
  <c r="N23" i="1"/>
  <c r="M23" i="1"/>
  <c r="L23" i="1"/>
  <c r="I23" i="1"/>
  <c r="J23" i="1" s="1"/>
  <c r="K23" i="1" s="1"/>
  <c r="F23" i="1"/>
  <c r="N22" i="1"/>
  <c r="M22" i="1"/>
  <c r="L22" i="1"/>
  <c r="J22" i="1"/>
  <c r="K22" i="1" s="1"/>
  <c r="I22" i="1"/>
  <c r="F22" i="1"/>
  <c r="N21" i="1"/>
  <c r="M21" i="1"/>
  <c r="L21" i="1"/>
  <c r="J21" i="1"/>
  <c r="K21" i="1" s="1"/>
  <c r="F21" i="1"/>
  <c r="N20" i="1"/>
  <c r="M20" i="1"/>
  <c r="L20" i="1"/>
  <c r="J20" i="1"/>
  <c r="K20" i="1" s="1"/>
  <c r="F20" i="1"/>
  <c r="N19" i="1"/>
  <c r="M19" i="1"/>
  <c r="L19" i="1"/>
  <c r="I19" i="1"/>
  <c r="N18" i="1"/>
  <c r="L18" i="1"/>
  <c r="M18" i="1" s="1"/>
  <c r="I18" i="1"/>
  <c r="J18" i="1" s="1"/>
  <c r="K18" i="1" s="1"/>
  <c r="F18" i="1"/>
  <c r="N10" i="1"/>
  <c r="M10" i="1"/>
  <c r="L10" i="1"/>
  <c r="I10" i="1"/>
  <c r="J10" i="1" s="1"/>
  <c r="K10" i="1" s="1"/>
  <c r="F10" i="1"/>
  <c r="N9" i="1"/>
  <c r="M9" i="1"/>
  <c r="L9" i="1"/>
  <c r="I9" i="1"/>
  <c r="J9" i="1" s="1"/>
  <c r="K9" i="1" s="1"/>
  <c r="F9" i="1"/>
  <c r="N8" i="1"/>
  <c r="M8" i="1"/>
  <c r="L8" i="1"/>
  <c r="I8" i="1"/>
  <c r="J8" i="1" s="1"/>
  <c r="K8" i="1" s="1"/>
  <c r="F8" i="1"/>
  <c r="N7" i="1"/>
  <c r="M7" i="1"/>
  <c r="L7" i="1"/>
  <c r="I7" i="1"/>
  <c r="J7" i="1" s="1"/>
  <c r="K7" i="1" s="1"/>
  <c r="F7" i="1"/>
  <c r="N6" i="1"/>
  <c r="M6" i="1"/>
  <c r="L6" i="1"/>
  <c r="I6" i="1"/>
  <c r="J6" i="1" s="1"/>
  <c r="K6" i="1" s="1"/>
  <c r="F6" i="1"/>
  <c r="N5" i="1"/>
  <c r="M5" i="1"/>
  <c r="L5" i="1"/>
  <c r="I5" i="1"/>
  <c r="J5" i="1" s="1"/>
  <c r="K5" i="1" s="1"/>
  <c r="F5" i="1"/>
  <c r="N4" i="1"/>
  <c r="L4" i="1"/>
  <c r="M4" i="1" s="1"/>
  <c r="K4" i="1"/>
  <c r="I4" i="1"/>
  <c r="F4" i="1"/>
  <c r="N3" i="1"/>
  <c r="L3" i="1"/>
  <c r="M3" i="1" s="1"/>
  <c r="I3" i="1"/>
  <c r="J3" i="1" s="1"/>
  <c r="F3" i="1"/>
  <c r="F19" i="3" l="1"/>
  <c r="M51" i="1"/>
  <c r="L51" i="1"/>
  <c r="N51" i="1"/>
  <c r="K3" i="1"/>
  <c r="K51" i="1" s="1"/>
  <c r="J51" i="1"/>
  <c r="I51" i="1"/>
  <c r="B3" i="3" l="1"/>
  <c r="B26" i="3" s="1"/>
  <c r="B28" i="3" s="1"/>
</calcChain>
</file>

<file path=xl/sharedStrings.xml><?xml version="1.0" encoding="utf-8"?>
<sst xmlns="http://schemas.openxmlformats.org/spreadsheetml/2006/main" count="366" uniqueCount="133">
  <si>
    <t>🏠  CASA DO MOSTEIRO — Réservations</t>
  </si>
  <si>
    <t>N°</t>
  </si>
  <si>
    <t>Plateforme</t>
  </si>
  <si>
    <t>Voyageur</t>
  </si>
  <si>
    <t>Arrivée</t>
  </si>
  <si>
    <t>Départ</t>
  </si>
  <si>
    <t>Nuits</t>
  </si>
  <si>
    <t>Personnes</t>
  </si>
  <si>
    <t>Prix brut (€)</t>
  </si>
  <si>
    <t>Frais plate. (€) 🔒</t>
  </si>
  <si>
    <t>Net reçu (€)</t>
  </si>
  <si>
    <t>Gloria 25% (€)</t>
  </si>
  <si>
    <t>Commission (€) 🔒</t>
  </si>
  <si>
    <t>TVA / Fr.banc. (€) 🔒</t>
  </si>
  <si>
    <t>Statut</t>
  </si>
  <si>
    <t>Hora de chegada</t>
  </si>
  <si>
    <t>Telefone</t>
  </si>
  <si>
    <t>Airbnb</t>
  </si>
  <si>
    <t>Nelson Santos</t>
  </si>
  <si>
    <t>Jennifer Kehl</t>
  </si>
  <si>
    <t>Booking.com</t>
  </si>
  <si>
    <t>Pedro Pereira</t>
  </si>
  <si>
    <t>Nicole CIOBANU</t>
  </si>
  <si>
    <t>Emmanuel DUGUET</t>
  </si>
  <si>
    <t>María Isabel Moreno Montoro</t>
  </si>
  <si>
    <t>🔵 Azul = introdução manual   ⚫ Preto = cálculo automático   🔒 Cinzento = calculado automaticamente   Direto: preço bruto = líquido, sem comissão   Airbnb: comissão 3% + TVA 20%   Booking: comissão 15% + fr.banc. 1.4%</t>
  </si>
  <si>
    <t>🏠  CASA DO MOSTEIRO — Bloc-notes</t>
  </si>
  <si>
    <t>Date</t>
  </si>
  <si>
    <t>Catégorie</t>
  </si>
  <si>
    <t>Note / Détail</t>
  </si>
  <si>
    <t>Fait ?</t>
  </si>
  <si>
    <t>Exemples de notes (à supprimer)</t>
  </si>
  <si>
    <t>Autre</t>
  </si>
  <si>
    <t>Changer le code de la boîte à clés — nouveau code : 1234</t>
  </si>
  <si>
    <t>✅ Fait</t>
  </si>
  <si>
    <t>Maintenance</t>
  </si>
  <si>
    <t>Vérifier le chauffe-eau avant saison estivale</t>
  </si>
  <si>
    <t>⏳ À faire</t>
  </si>
  <si>
    <t>Tarde</t>
  </si>
  <si>
    <t>A definir</t>
  </si>
  <si>
    <t>16h00</t>
  </si>
  <si>
    <t>19h00</t>
  </si>
  <si>
    <t>00351933203219</t>
  </si>
  <si>
    <t>0041775301028</t>
  </si>
  <si>
    <t>0034687242752</t>
  </si>
  <si>
    <t>0034669766284</t>
  </si>
  <si>
    <t>0033674508437</t>
  </si>
  <si>
    <t>0034692526433</t>
  </si>
  <si>
    <t>0034662673619</t>
  </si>
  <si>
    <t>Barbara Gama</t>
  </si>
  <si>
    <t>00351962553779</t>
  </si>
  <si>
    <t>Direto</t>
  </si>
  <si>
    <t>X</t>
  </si>
  <si>
    <t>Abritel</t>
  </si>
  <si>
    <t>Bruno Sousa</t>
  </si>
  <si>
    <t>0623755787</t>
  </si>
  <si>
    <t>Ana Isabel Bechaud</t>
  </si>
  <si>
    <t>0619814951</t>
  </si>
  <si>
    <t>Juan Neira Conde</t>
  </si>
  <si>
    <t>0034675633865</t>
  </si>
  <si>
    <t>Dulce Morais</t>
  </si>
  <si>
    <t>00351936282687</t>
  </si>
  <si>
    <t>Eva Fernandez Losada</t>
  </si>
  <si>
    <t>Alex Sandro Moreira</t>
  </si>
  <si>
    <t>Pedro Joao Rodrigues</t>
  </si>
  <si>
    <t>+393463256052</t>
  </si>
  <si>
    <t>+351960070755</t>
  </si>
  <si>
    <t>Adelina Neves</t>
  </si>
  <si>
    <t>+351935023820</t>
  </si>
  <si>
    <t>Y</t>
  </si>
  <si>
    <t>y</t>
  </si>
  <si>
    <t>Ana Moura</t>
  </si>
  <si>
    <t>00351919451210</t>
  </si>
  <si>
    <t>00351912080179</t>
  </si>
  <si>
    <t>x</t>
  </si>
  <si>
    <t>Antonio Pinho empresa</t>
  </si>
  <si>
    <t>Colonne1</t>
  </si>
  <si>
    <t>Declaraçao periodica</t>
  </si>
  <si>
    <t>Pago à Gloria</t>
  </si>
  <si>
    <t>Agosto 2026</t>
  </si>
  <si>
    <t>Modelo 30</t>
  </si>
  <si>
    <t>Origem pais</t>
  </si>
  <si>
    <t>SIBA</t>
  </si>
  <si>
    <t>Done</t>
  </si>
  <si>
    <t>Fatura Recibo</t>
  </si>
  <si>
    <t>Portugal</t>
  </si>
  <si>
    <t>Espagne</t>
  </si>
  <si>
    <t>France</t>
  </si>
  <si>
    <t>Italie</t>
  </si>
  <si>
    <t xml:space="preserve">Done </t>
  </si>
  <si>
    <t>Not Done</t>
  </si>
  <si>
    <t>Net Reservas - Gloria 25%</t>
  </si>
  <si>
    <t>Impostos</t>
  </si>
  <si>
    <t>IVA - erro 2 faturas</t>
  </si>
  <si>
    <t>Edp</t>
  </si>
  <si>
    <t>Agua</t>
  </si>
  <si>
    <t>Energia</t>
  </si>
  <si>
    <t>IVA comissoes Booking - Août 26</t>
  </si>
  <si>
    <t xml:space="preserve">IVA comissoes Booking - Mars Avril Mai Juin 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</si>
  <si>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</si>
  <si>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</si>
  <si>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</si>
  <si>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</si>
  <si>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</si>
  <si>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</si>
  <si>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</si>
  <si>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</si>
  <si>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</si>
  <si>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</si>
  <si>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</si>
  <si>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</si>
  <si>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Internet</t>
  </si>
  <si>
    <t>Total</t>
  </si>
  <si>
    <t>Totaux</t>
  </si>
  <si>
    <t>NET AVANT IRS</t>
  </si>
  <si>
    <t>NET APRES IRS</t>
  </si>
  <si>
    <t>IMI</t>
  </si>
  <si>
    <t>Total (Colonne I) :</t>
  </si>
  <si>
    <t>TVA / IVA (23%) :</t>
  </si>
  <si>
    <t>Irene Ivens</t>
  </si>
  <si>
    <t>18h00</t>
  </si>
  <si>
    <t>+351 934 212 650</t>
  </si>
  <si>
    <t>Cindy</t>
  </si>
  <si>
    <t>xxx</t>
  </si>
  <si>
    <t>Duarte Maria</t>
  </si>
  <si>
    <t>+351961948107</t>
  </si>
  <si>
    <t>Mesina Ana</t>
  </si>
  <si>
    <t>+351 968 939 719</t>
  </si>
  <si>
    <t>Carla Lopes</t>
  </si>
  <si>
    <t>+34 630 58 07 61</t>
  </si>
  <si>
    <t>Antonio Policarpo</t>
  </si>
  <si>
    <t>+41 79 136 16 31</t>
  </si>
  <si>
    <t>Suisse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</si>
</sst>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#,##0.00&quot; €&quot;"/>
    <numFmt numFmtId="166" formatCode="#,##0.00\ \€"/>
  </numFmts>
  <fonts count="19" x14ac:knownFonts="1">
    <font>
      <sz val="11"/>
      <color theme="1"/>
      <name val="Calibri"/>
      <family val="2"/>
      <charset val="1"/>
    </font>
    <font>
      <b/>
      <sz val="12"/>
      <color rgb="FFFDFAF6"/>
      <name val="Arial"/>
      <charset val="1"/>
    </font>
    <font>
      <b/>
      <sz val="10"/>
      <color rgb="FFFDFAF6"/>
      <name val="Arial"/>
      <charset val="1"/>
    </font>
    <font>
      <b/>
      <sz val="9"/>
      <color rgb="FFFDFAF6"/>
      <name val="Arial"/>
      <charset val="1"/>
    </font>
    <font>
      <sz val="10"/>
      <color rgb="FF999999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charset val="1"/>
    </font>
    <font>
      <i/>
      <sz val="10"/>
      <color rgb="FF888888"/>
      <name val="Arial"/>
      <charset val="1"/>
    </font>
    <font>
      <b/>
      <sz val="9"/>
      <color rgb="FFFDFAF6"/>
      <name val="Arial"/>
      <family val="2"/>
      <charset val="1"/>
    </font>
    <font>
      <i/>
      <sz val="9"/>
      <color rgb="FF888888"/>
      <name val="Arial"/>
      <charset val="1"/>
    </font>
    <font>
      <b/>
      <sz val="14"/>
      <color rgb="FFFDFAF6"/>
      <name val="Arial"/>
      <charset val="1"/>
    </font>
    <font>
      <sz val="10"/>
      <color rgb="FF333333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8"/>
      <name val="Calibri"/>
      <family val="2"/>
      <charset val="1"/>
    </font>
    <font>
      <b/>
      <sz val="14"/>
      <color rgb="FFFF0000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C2B2D"/>
        <bgColor rgb="FF333333"/>
      </patternFill>
    </fill>
    <fill>
      <patternFill patternType="solid">
        <fgColor rgb="FFC2714F"/>
        <bgColor rgb="FFA85A3A"/>
      </patternFill>
    </fill>
    <fill>
      <patternFill patternType="solid">
        <fgColor rgb="FF888888"/>
        <bgColor rgb="FF999999"/>
      </patternFill>
    </fill>
    <fill>
      <patternFill patternType="solid">
        <fgColor rgb="FFFDFAF6"/>
        <bgColor rgb="FFFFFBF0"/>
      </patternFill>
    </fill>
    <fill>
      <patternFill patternType="solid">
        <fgColor rgb="FFD9D9D9"/>
        <bgColor rgb="FFCCCCCC"/>
      </patternFill>
    </fill>
    <fill>
      <patternFill patternType="solid">
        <fgColor rgb="FFF8F3EE"/>
        <bgColor rgb="FFFDFAF6"/>
      </patternFill>
    </fill>
    <fill>
      <patternFill patternType="solid">
        <fgColor rgb="FF666666"/>
        <bgColor rgb="FF888888"/>
      </patternFill>
    </fill>
    <fill>
      <patternFill patternType="solid">
        <fgColor rgb="FFD4A853"/>
        <bgColor rgb="FFE6B9B8"/>
      </patternFill>
    </fill>
    <fill>
      <patternFill patternType="solid">
        <fgColor rgb="FFFFFBF0"/>
        <bgColor rgb="FFFDFAF6"/>
      </patternFill>
    </fill>
    <fill>
      <patternFill patternType="solid">
        <fgColor theme="0"/>
        <bgColor rgb="FFFDFAF6"/>
      </patternFill>
    </fill>
    <fill>
      <patternFill patternType="solid">
        <fgColor rgb="FFFFFF00"/>
        <bgColor rgb="FFFFFBF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A85A3A"/>
      </left>
      <right style="thin">
        <color rgb="FFA85A3A"/>
      </right>
      <top/>
      <bottom style="thin">
        <color rgb="FFA85A3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A85A3A"/>
      </left>
      <right style="thin">
        <color rgb="FFA85A3A"/>
      </right>
      <top style="thin">
        <color rgb="FFA85A3A"/>
      </top>
      <bottom style="thin">
        <color rgb="FFA85A3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2714F"/>
      </left>
      <right style="thin">
        <color rgb="FFC2714F"/>
      </right>
      <top style="thin">
        <color rgb="FFC2714F"/>
      </top>
      <bottom style="thin">
        <color rgb="FFC2714F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A85A3A"/>
      </left>
      <right style="thin">
        <color rgb="FFA85A3A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165" fontId="8" fillId="6" borderId="5" xfId="0" applyNumberFormat="1" applyFont="1" applyFill="1" applyBorder="1" applyAlignment="1">
      <alignment horizontal="center" vertical="center" wrapText="1"/>
    </xf>
    <xf numFmtId="165" fontId="5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165" fontId="7" fillId="7" borderId="4" xfId="0" applyNumberFormat="1" applyFont="1" applyFill="1" applyBorder="1" applyAlignment="1">
      <alignment horizontal="center" vertical="center" wrapText="1"/>
    </xf>
    <xf numFmtId="165" fontId="5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165" fontId="2" fillId="8" borderId="7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9" borderId="8" xfId="0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164" fontId="8" fillId="10" borderId="4" xfId="0" applyNumberFormat="1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164" fontId="12" fillId="5" borderId="4" xfId="0" applyNumberFormat="1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164" fontId="12" fillId="10" borderId="4" xfId="0" applyNumberFormat="1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165" fontId="13" fillId="11" borderId="4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14" fillId="5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49" fontId="15" fillId="5" borderId="4" xfId="0" applyNumberFormat="1" applyFont="1" applyFill="1" applyBorder="1" applyAlignment="1">
      <alignment horizontal="center" vertical="center" wrapText="1"/>
    </xf>
    <xf numFmtId="49" fontId="15" fillId="7" borderId="4" xfId="0" applyNumberFormat="1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/>
    <xf numFmtId="14" fontId="2" fillId="3" borderId="1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9" fontId="7" fillId="7" borderId="9" xfId="0" applyNumberFormat="1" applyFont="1" applyFill="1" applyBorder="1" applyAlignment="1">
      <alignment horizontal="center" vertical="center" wrapText="1"/>
    </xf>
    <xf numFmtId="49" fontId="7" fillId="7" borderId="10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49" fontId="7" fillId="5" borderId="9" xfId="0" applyNumberFormat="1" applyFont="1" applyFill="1" applyBorder="1" applyAlignment="1">
      <alignment horizontal="center" vertical="center" wrapText="1"/>
    </xf>
    <xf numFmtId="49" fontId="15" fillId="7" borderId="9" xfId="0" applyNumberFormat="1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center"/>
    </xf>
    <xf numFmtId="0" fontId="18" fillId="0" borderId="0" xfId="0" applyFont="1"/>
    <xf numFmtId="166" fontId="18" fillId="0" borderId="0" xfId="0" applyNumberFormat="1" applyFont="1"/>
    <xf numFmtId="49" fontId="15" fillId="5" borderId="9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/>
    <xf numFmtId="0" fontId="1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48"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/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ill>
        <patternFill patternType="darkUp">
          <bgColor theme="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5" tint="0.59987182226020086"/>
        </patternFill>
      </fill>
    </dxf>
    <dxf>
      <fill>
        <patternFill>
          <bgColor theme="3" tint="0.799890133365886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0" formatCode="General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30" formatCode="@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88888"/>
        <name val="Arial"/>
        <charset val="1"/>
        <scheme val="none"/>
      </font>
      <numFmt numFmtId="165" formatCode="#,##0.00&quot; €&quot;"/>
      <fill>
        <patternFill patternType="solid">
          <fgColor rgb="FFCCCCCC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88888"/>
        <name val="Arial"/>
        <charset val="1"/>
        <scheme val="none"/>
      </font>
      <numFmt numFmtId="165" formatCode="#,##0.00&quot; €&quot;"/>
      <fill>
        <patternFill patternType="solid">
          <fgColor rgb="FFCCCCCC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€&quot;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#,##0.00&quot; €&quot;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88888"/>
        <name val="Arial"/>
        <charset val="1"/>
        <scheme val="none"/>
      </font>
      <numFmt numFmtId="165" formatCode="#,##0.00&quot; €&quot;"/>
      <fill>
        <patternFill patternType="solid">
          <fgColor rgb="FFCCCCCC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5" formatCode="#,##0.00&quot; €&quot;"/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FAF6"/>
          <bgColor rgb="FFF8F3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DFAF6"/>
        <name val="Arial"/>
        <charset val="1"/>
        <scheme val="none"/>
      </font>
      <fill>
        <patternFill patternType="solid">
          <fgColor rgb="FFA85A3A"/>
          <bgColor rgb="FFC2714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85A3A"/>
        </left>
        <right style="thin">
          <color rgb="FFA85A3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DF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BBBBB"/>
      <rgbColor rgb="FF888888"/>
      <rgbColor rgb="FF9999FF"/>
      <rgbColor rgb="FFA85A3A"/>
      <rgbColor rgb="FFFFFBF0"/>
      <rgbColor rgb="FFF8F3EE"/>
      <rgbColor rgb="FF660066"/>
      <rgbColor rgb="FFC2714F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E6B9B8"/>
      <rgbColor rgb="FF3366FF"/>
      <rgbColor rgb="FF33CCCC"/>
      <rgbColor rgb="FF99CC00"/>
      <rgbColor rgb="FFFFCC00"/>
      <rgbColor rgb="FFD4A853"/>
      <rgbColor rgb="FFFF6600"/>
      <rgbColor rgb="FF666666"/>
      <rgbColor rgb="FF999999"/>
      <rgbColor rgb="FF003366"/>
      <rgbColor rgb="FF339966"/>
      <rgbColor rgb="FF003300"/>
      <rgbColor rgb="FF1C2B2D"/>
      <rgbColor rgb="FF9933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13CAB-7AD2-4EDB-930F-5D65625B6D2B}" name="Tableau1" displayName="Tableau1" ref="A2:V51" totalsRowShown="0" headerRowDxfId="47">
  <autoFilter ref="A2:V51" xr:uid="{F2313CAB-7AD2-4EDB-930F-5D65625B6D2B}"/>
  <tableColumns count="22">
    <tableColumn id="1" xr3:uid="{AC60970B-A2FC-4DDF-A9CC-349A2480743F}" name="N°"/>
    <tableColumn id="2" xr3:uid="{D1C29AA2-7371-49D7-A3A3-4422D13F1388}" name="Plateforme"/>
    <tableColumn id="3" xr3:uid="{B122446C-E3FE-40E2-87A7-AB4899728B1C}" name="Voyageur"/>
    <tableColumn id="4" xr3:uid="{97208B29-BAB5-42E9-B831-9D4590177054}" name="Arrivée" dataDxfId="46"/>
    <tableColumn id="5" xr3:uid="{D3FE3381-C4B8-498F-A625-9962CB8A6588}" name="Départ" dataDxfId="45"/>
    <tableColumn id="6" xr3:uid="{597E1DA1-8BEB-4388-9DEE-46070032A16C}" name="Nuits" dataDxfId="44"/>
    <tableColumn id="7" xr3:uid="{FB4B88CE-AF8F-4750-B8B0-B7F7393E68C9}" name="Personnes"/>
    <tableColumn id="8" xr3:uid="{5D9F9F94-AD5D-4170-9B0D-1889D7F3F70D}" name="Prix brut (€)" dataDxfId="43"/>
    <tableColumn id="9" xr3:uid="{E2297A44-4273-4BA7-878E-97F599090065}" name="Frais plate. (€) 🔒" dataDxfId="42"/>
    <tableColumn id="10" xr3:uid="{CFAAEAA3-2982-40AF-B875-EE881355E43E}" name="Net reçu (€)" dataDxfId="41"/>
    <tableColumn id="11" xr3:uid="{B8A370C8-5D57-48C1-8BE6-3A2B5ACFB5DD}" name="Gloria 25% (€)" dataDxfId="40"/>
    <tableColumn id="12" xr3:uid="{596F80C5-7E4A-4CD8-9C07-871967C53D6A}" name="Commission (€) 🔒" dataDxfId="39"/>
    <tableColumn id="13" xr3:uid="{EB1AD7D4-C5F7-417D-9953-52A1CF811051}" name="TVA / Fr.banc. (€) 🔒" dataDxfId="38"/>
    <tableColumn id="14" xr3:uid="{DE0D1F8C-57FF-492D-BFE6-FE4E7A8BEABC}" name="Statut" dataDxfId="37"/>
    <tableColumn id="15" xr3:uid="{8C802233-1B0A-46BB-A281-14B1BE490844}" name="Hora de chegada" dataDxfId="36"/>
    <tableColumn id="16" xr3:uid="{0737B9E8-1278-4EF0-9A9B-3B9B8DE56851}" name="Telefone" dataDxfId="35"/>
    <tableColumn id="20" xr3:uid="{AAEF3097-6712-425D-B1C2-8B8C9DCD1405}" name="Origem pais" dataDxfId="34"/>
    <tableColumn id="19" xr3:uid="{3A02FFEE-7E80-4A50-8F0D-186CC65341C3}" name="Pago à Gloria" dataDxfId="33"/>
    <tableColumn id="22" xr3:uid="{999382AB-4DC2-4DAC-8F70-9D459DB59643}" name="Fatura Recibo" dataDxfId="32"/>
    <tableColumn id="17" xr3:uid="{CF9F9B7B-BFD4-477B-8C19-3E66FF30E5D7}" name="Declaraçao periodica" dataDxfId="31"/>
    <tableColumn id="18" xr3:uid="{F640427D-2242-4152-9FCD-444C5EDD0A1C}" name="Modelo 30" dataDxfId="30"/>
    <tableColumn id="21" xr3:uid="{612D56FE-F510-4160-A3FD-131DF91AC81B}" name="SIBA" dataDxfId="29">
      <calculatedColumnFormula>IF(Tableau1[[#This Row],[Origem pais]]&lt;&gt;"Portugal", "Declarar SIBA",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375DE-CBCA-4C9D-9A5F-9679B0B246A8}" name="Tableau3" displayName="Tableau3" ref="B5:C11" totalsRowShown="0">
  <autoFilter ref="B5:C11" xr:uid="{9C8375DE-CBCA-4C9D-9A5F-9679B0B246A8}"/>
  <tableColumns count="2">
    <tableColumn id="1" xr3:uid="{1BBB3CD1-137C-4BAF-9568-C494A6EDA9EC}" name="Impostos"/>
    <tableColumn id="2" xr3:uid="{27CD2145-677B-45CA-B207-A84022D6413D}" name="Colonne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DA097E-C3DA-4637-A352-010FEB85F7BD}" name="Tableau4" displayName="Tableau4" ref="E5:H19" totalsRowShown="0">
  <autoFilter ref="E5:H19" xr:uid="{5CDA097E-C3DA-4637-A352-010FEB85F7BD}"/>
  <tableColumns count="4">
    <tableColumn id="1" xr3:uid="{BC0A6841-EF61-45B6-9864-B676ABD289A1}" name="Energia"/>
    <tableColumn id="2" xr3:uid="{F8FECCA4-B61F-419D-957E-F47A6A18289A}" name="Edp"/>
    <tableColumn id="4" xr3:uid="{73704FF3-F279-4418-BCD5-A99024B2DC9C}" name="Internet"/>
    <tableColumn id="3" xr3:uid="{571EA71C-7777-4921-A826-30F8725959A6}" name="Agu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0F413B-31EE-4DE9-AF9D-C8E140EDE805}" name="Tableau5" displayName="Tableau5" ref="B2:B3" totalsRowShown="0">
  <autoFilter ref="B2:B3" xr:uid="{5A0F413B-31EE-4DE9-AF9D-C8E140EDE805}"/>
  <tableColumns count="1">
    <tableColumn id="1" xr3:uid="{FFB8C9DD-F109-48D5-9B37-E3121332F04F}" name="Net Reservas - Gloria 25%">
      <calculatedColumnFormula>'📋 Réservations'!J51-'📋 Réservations'!K51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2714F"/>
  </sheetPr>
  <dimension ref="A1:V54"/>
  <sheetViews>
    <sheetView showGridLines="0" tabSelected="1" zoomScale="85" zoomScaleNormal="85" workbookViewId="0">
      <pane ySplit="2" topLeftCell="A3" activePane="bottomLeft" state="frozen"/>
      <selection pane="bottomLeft" activeCell="E29" sqref="E29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22" customWidth="1"/>
    <col min="4" max="5" width="13" style="50" customWidth="1"/>
    <col min="6" max="6" width="8" customWidth="1"/>
    <col min="7" max="7" width="12.42578125" customWidth="1"/>
    <col min="8" max="8" width="14" customWidth="1"/>
    <col min="9" max="9" width="17.140625" customWidth="1"/>
    <col min="10" max="10" width="14" customWidth="1"/>
    <col min="11" max="11" width="16" customWidth="1"/>
    <col min="12" max="12" width="18.42578125" customWidth="1"/>
    <col min="13" max="13" width="19.28515625" customWidth="1"/>
    <col min="14" max="14" width="14" customWidth="1"/>
    <col min="15" max="15" width="18.5703125" customWidth="1"/>
    <col min="16" max="17" width="16" customWidth="1"/>
    <col min="18" max="18" width="12.5703125" bestFit="1" customWidth="1"/>
    <col min="19" max="19" width="12.5703125" customWidth="1"/>
    <col min="20" max="20" width="13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5.5" x14ac:dyDescent="0.25">
      <c r="A2" s="1" t="s">
        <v>1</v>
      </c>
      <c r="B2" s="1" t="s">
        <v>2</v>
      </c>
      <c r="C2" s="1" t="s">
        <v>3</v>
      </c>
      <c r="D2" s="46" t="s">
        <v>4</v>
      </c>
      <c r="E2" s="46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1" t="s">
        <v>11</v>
      </c>
      <c r="L2" s="2" t="s">
        <v>12</v>
      </c>
      <c r="M2" s="2" t="s">
        <v>13</v>
      </c>
      <c r="N2" s="1" t="s">
        <v>14</v>
      </c>
      <c r="O2" s="3" t="s">
        <v>15</v>
      </c>
      <c r="P2" s="3" t="s">
        <v>16</v>
      </c>
      <c r="Q2" s="53" t="s">
        <v>81</v>
      </c>
      <c r="R2" s="53" t="s">
        <v>78</v>
      </c>
      <c r="S2" s="53" t="s">
        <v>84</v>
      </c>
      <c r="T2" s="53" t="s">
        <v>77</v>
      </c>
      <c r="U2" s="53" t="s">
        <v>80</v>
      </c>
      <c r="V2" s="53" t="s">
        <v>82</v>
      </c>
    </row>
    <row r="3" spans="1:22" ht="21.75" customHeight="1" x14ac:dyDescent="0.25">
      <c r="A3" s="4">
        <v>1</v>
      </c>
      <c r="B3" s="5" t="s">
        <v>17</v>
      </c>
      <c r="C3" s="6" t="s">
        <v>18</v>
      </c>
      <c r="D3" s="47">
        <v>46114</v>
      </c>
      <c r="E3" s="47">
        <v>46118</v>
      </c>
      <c r="F3" s="5">
        <f t="shared" ref="F3:F35" si="0">IF(AND(D3&lt;&gt;"",E3&lt;&gt;""),E3-D3,"")</f>
        <v>4</v>
      </c>
      <c r="G3" s="5">
        <v>5</v>
      </c>
      <c r="H3" s="7">
        <v>540</v>
      </c>
      <c r="I3" s="8">
        <f t="shared" ref="I3:I35" si="1">IF(B3="Direto","",IF(B3="Airbnb",IF(H3&lt;&gt;"",H3*0.03+H3*0.03*0.2,""),IF(B3="Booking.com",IF(H3&lt;&gt;"",H3*0.15+H3*0.014,""),"")))</f>
        <v>19.439999999999998</v>
      </c>
      <c r="J3" s="9">
        <f t="shared" ref="J3:J35" si="2">IF(B3="Direto",IF(H3&lt;&gt;"",H3,""),IF(H3&lt;&gt;"",H3-IF(I3&lt;&gt;"",I3,0),""))</f>
        <v>520.55999999999995</v>
      </c>
      <c r="K3" s="9">
        <f t="shared" ref="K3:K35" si="3">IF(J3&lt;&gt;"",J3*0.25,"")</f>
        <v>130.13999999999999</v>
      </c>
      <c r="L3" s="8">
        <f t="shared" ref="L3:L35" si="4">IF(B3="Airbnb",IF(H3&lt;&gt;"",H3*0.03,""),IF(B3="Booking.com",IF(H3&lt;&gt;"",H3*0.15,""),""))</f>
        <v>16.2</v>
      </c>
      <c r="M3" s="8">
        <f t="shared" ref="M3:M35" si="5">IF(B3="Airbnb",IF(L3&lt;&gt;"",L3*0.2,""),IF(B3="Booking.com",IF(H3&lt;&gt;"",H3*0.014,""),""))</f>
        <v>3.24</v>
      </c>
      <c r="N3" s="5" t="str">
        <f t="shared" ref="N3:N35" ca="1" si="6">IF(D3="","",IF(E3&lt;TODAY(),"✅ Terminée",IF(D3&lt;=TODAY(),"🟡 En cours","🔵 À venir")))</f>
        <v>✅ Terminée</v>
      </c>
      <c r="O3" s="10" t="s">
        <v>38</v>
      </c>
      <c r="P3" s="11" t="s">
        <v>42</v>
      </c>
      <c r="Q3" s="54" t="s">
        <v>85</v>
      </c>
      <c r="R3" s="54" t="s">
        <v>79</v>
      </c>
      <c r="S3" s="42" t="s">
        <v>83</v>
      </c>
      <c r="T3" s="51" t="s">
        <v>74</v>
      </c>
      <c r="U3" s="51" t="s">
        <v>74</v>
      </c>
      <c r="V3" t="str">
        <f>IF(Tableau1[[#This Row],[Origem pais]]&lt;&gt;"Portugal", "Declarar SIBA", "")</f>
        <v/>
      </c>
    </row>
    <row r="4" spans="1:22" ht="21.75" customHeight="1" x14ac:dyDescent="0.25">
      <c r="A4" s="12">
        <v>2</v>
      </c>
      <c r="B4" s="13" t="s">
        <v>17</v>
      </c>
      <c r="C4" s="14" t="s">
        <v>19</v>
      </c>
      <c r="D4" s="48">
        <v>46206</v>
      </c>
      <c r="E4" s="48">
        <v>46208</v>
      </c>
      <c r="F4" s="13">
        <f t="shared" si="0"/>
        <v>2</v>
      </c>
      <c r="G4" s="13">
        <v>4</v>
      </c>
      <c r="H4" s="15">
        <v>300</v>
      </c>
      <c r="I4" s="8">
        <f t="shared" si="1"/>
        <v>10.8</v>
      </c>
      <c r="J4" s="35">
        <v>231.36</v>
      </c>
      <c r="K4" s="16">
        <f t="shared" si="3"/>
        <v>57.84</v>
      </c>
      <c r="L4" s="8">
        <f t="shared" si="4"/>
        <v>9</v>
      </c>
      <c r="M4" s="8">
        <f t="shared" si="5"/>
        <v>1.8</v>
      </c>
      <c r="N4" s="13" t="str">
        <f t="shared" ca="1" si="6"/>
        <v>✅ Terminée</v>
      </c>
      <c r="O4" s="17" t="s">
        <v>39</v>
      </c>
      <c r="P4" s="18" t="s">
        <v>43</v>
      </c>
      <c r="Q4" s="51" t="s">
        <v>85</v>
      </c>
      <c r="R4" s="54" t="s">
        <v>79</v>
      </c>
      <c r="S4" s="42" t="s">
        <v>83</v>
      </c>
      <c r="T4" s="42" t="s">
        <v>74</v>
      </c>
      <c r="U4" s="18" t="s">
        <v>74</v>
      </c>
      <c r="V4" t="str">
        <f>IF(Tableau1[[#This Row],[Origem pais]]&lt;&gt;"Portugal", "Declarar SIBA", "")</f>
        <v/>
      </c>
    </row>
    <row r="5" spans="1:22" ht="21.75" customHeight="1" x14ac:dyDescent="0.25">
      <c r="A5" s="4">
        <v>3</v>
      </c>
      <c r="B5" s="5" t="s">
        <v>20</v>
      </c>
      <c r="C5" s="19" t="s">
        <v>21</v>
      </c>
      <c r="D5" s="48">
        <v>46095</v>
      </c>
      <c r="E5" s="48">
        <v>46099</v>
      </c>
      <c r="F5" s="5">
        <f t="shared" si="0"/>
        <v>4</v>
      </c>
      <c r="G5" s="5">
        <v>4</v>
      </c>
      <c r="H5" s="7">
        <v>540</v>
      </c>
      <c r="I5" s="8">
        <f t="shared" si="1"/>
        <v>88.56</v>
      </c>
      <c r="J5" s="9">
        <f t="shared" si="2"/>
        <v>451.44</v>
      </c>
      <c r="K5" s="9">
        <f t="shared" si="3"/>
        <v>112.86</v>
      </c>
      <c r="L5" s="8">
        <f t="shared" si="4"/>
        <v>81</v>
      </c>
      <c r="M5" s="8">
        <f t="shared" si="5"/>
        <v>7.5600000000000005</v>
      </c>
      <c r="N5" s="5" t="str">
        <f t="shared" ca="1" si="6"/>
        <v>✅ Terminée</v>
      </c>
      <c r="O5" s="10" t="s">
        <v>40</v>
      </c>
      <c r="P5" s="11" t="s">
        <v>44</v>
      </c>
      <c r="Q5" s="51" t="s">
        <v>86</v>
      </c>
      <c r="R5" s="54" t="s">
        <v>79</v>
      </c>
      <c r="S5" s="18" t="s">
        <v>83</v>
      </c>
      <c r="T5" s="18" t="s">
        <v>83</v>
      </c>
      <c r="U5" s="18" t="s">
        <v>83</v>
      </c>
      <c r="V5" t="str">
        <f>IF(Tableau1[[#This Row],[Origem pais]]&lt;&gt;"Portugal", "Declarar SIBA", "")</f>
        <v>Declarar SIBA</v>
      </c>
    </row>
    <row r="6" spans="1:22" ht="21.75" customHeight="1" x14ac:dyDescent="0.25">
      <c r="A6" s="12">
        <v>4</v>
      </c>
      <c r="B6" s="13" t="s">
        <v>20</v>
      </c>
      <c r="C6" s="20" t="s">
        <v>22</v>
      </c>
      <c r="D6" s="48">
        <v>46088</v>
      </c>
      <c r="E6" s="48">
        <v>46093</v>
      </c>
      <c r="F6" s="13">
        <f t="shared" si="0"/>
        <v>5</v>
      </c>
      <c r="G6" s="13">
        <v>3</v>
      </c>
      <c r="H6" s="15">
        <v>675</v>
      </c>
      <c r="I6" s="8">
        <f t="shared" si="1"/>
        <v>110.7</v>
      </c>
      <c r="J6" s="16">
        <f t="shared" si="2"/>
        <v>564.29999999999995</v>
      </c>
      <c r="K6" s="16">
        <f t="shared" si="3"/>
        <v>141.07499999999999</v>
      </c>
      <c r="L6" s="8">
        <f t="shared" si="4"/>
        <v>101.25</v>
      </c>
      <c r="M6" s="8">
        <f t="shared" si="5"/>
        <v>9.4500000000000011</v>
      </c>
      <c r="N6" s="13" t="str">
        <f t="shared" ca="1" si="6"/>
        <v>✅ Terminée</v>
      </c>
      <c r="O6" s="17" t="s">
        <v>39</v>
      </c>
      <c r="P6" s="18" t="s">
        <v>45</v>
      </c>
      <c r="Q6" s="51" t="s">
        <v>86</v>
      </c>
      <c r="R6" s="54" t="s">
        <v>79</v>
      </c>
      <c r="S6" s="18" t="s">
        <v>83</v>
      </c>
      <c r="T6" s="18" t="s">
        <v>83</v>
      </c>
      <c r="U6" s="18" t="s">
        <v>83</v>
      </c>
      <c r="V6" t="str">
        <f>IF(Tableau1[[#This Row],[Origem pais]]&lt;&gt;"Portugal", "Declarar SIBA", "")</f>
        <v>Declarar SIBA</v>
      </c>
    </row>
    <row r="7" spans="1:22" ht="21.75" customHeight="1" x14ac:dyDescent="0.25">
      <c r="A7" s="4">
        <v>5</v>
      </c>
      <c r="B7" s="5" t="s">
        <v>20</v>
      </c>
      <c r="C7" s="19" t="s">
        <v>23</v>
      </c>
      <c r="D7" s="48">
        <v>45996</v>
      </c>
      <c r="E7" s="48">
        <v>45997</v>
      </c>
      <c r="F7" s="5">
        <f t="shared" si="0"/>
        <v>1</v>
      </c>
      <c r="G7" s="5">
        <v>3</v>
      </c>
      <c r="H7" s="7">
        <v>104.04</v>
      </c>
      <c r="I7" s="8">
        <f t="shared" si="1"/>
        <v>17.062560000000001</v>
      </c>
      <c r="J7" s="9">
        <f t="shared" si="2"/>
        <v>86.977440000000001</v>
      </c>
      <c r="K7" s="9">
        <f t="shared" si="3"/>
        <v>21.74436</v>
      </c>
      <c r="L7" s="8">
        <f t="shared" si="4"/>
        <v>15.606</v>
      </c>
      <c r="M7" s="8">
        <f t="shared" si="5"/>
        <v>1.4565600000000001</v>
      </c>
      <c r="N7" s="5" t="str">
        <f t="shared" ca="1" si="6"/>
        <v>✅ Terminée</v>
      </c>
      <c r="O7" s="10" t="s">
        <v>40</v>
      </c>
      <c r="P7" s="11" t="s">
        <v>46</v>
      </c>
      <c r="Q7" s="54" t="s">
        <v>87</v>
      </c>
      <c r="R7" s="54" t="s">
        <v>79</v>
      </c>
      <c r="S7" s="18" t="s">
        <v>90</v>
      </c>
      <c r="T7" s="18" t="s">
        <v>90</v>
      </c>
      <c r="U7" s="18" t="s">
        <v>90</v>
      </c>
      <c r="V7" t="str">
        <f>IF(Tableau1[[#This Row],[Origem pais]]&lt;&gt;"Portugal", "Declarar SIBA", "")</f>
        <v>Declarar SIBA</v>
      </c>
    </row>
    <row r="8" spans="1:22" ht="21.75" customHeight="1" x14ac:dyDescent="0.25">
      <c r="A8" s="12">
        <v>6</v>
      </c>
      <c r="B8" s="13" t="s">
        <v>20</v>
      </c>
      <c r="C8" s="14" t="s">
        <v>24</v>
      </c>
      <c r="D8" s="48">
        <v>46128</v>
      </c>
      <c r="E8" s="48">
        <v>46131</v>
      </c>
      <c r="F8" s="13">
        <f t="shared" si="0"/>
        <v>3</v>
      </c>
      <c r="G8" s="13">
        <v>6</v>
      </c>
      <c r="H8" s="15">
        <v>405</v>
      </c>
      <c r="I8" s="8">
        <f t="shared" si="1"/>
        <v>66.42</v>
      </c>
      <c r="J8" s="16">
        <f t="shared" si="2"/>
        <v>338.58</v>
      </c>
      <c r="K8" s="16">
        <f t="shared" si="3"/>
        <v>84.644999999999996</v>
      </c>
      <c r="L8" s="8">
        <f t="shared" si="4"/>
        <v>60.75</v>
      </c>
      <c r="M8" s="8">
        <f t="shared" si="5"/>
        <v>5.67</v>
      </c>
      <c r="N8" s="13" t="str">
        <f t="shared" ca="1" si="6"/>
        <v>✅ Terminée</v>
      </c>
      <c r="O8" s="17" t="s">
        <v>38</v>
      </c>
      <c r="P8" s="18" t="s">
        <v>47</v>
      </c>
      <c r="Q8" s="51" t="s">
        <v>86</v>
      </c>
      <c r="R8" s="54" t="s">
        <v>79</v>
      </c>
      <c r="S8" s="18" t="s">
        <v>83</v>
      </c>
      <c r="T8" s="18" t="s">
        <v>83</v>
      </c>
      <c r="U8" s="18" t="s">
        <v>83</v>
      </c>
      <c r="V8" t="str">
        <f>IF(Tableau1[[#This Row],[Origem pais]]&lt;&gt;"Portugal", "Declarar SIBA", "")</f>
        <v>Declarar SIBA</v>
      </c>
    </row>
    <row r="9" spans="1:22" ht="21.75" customHeight="1" x14ac:dyDescent="0.25">
      <c r="A9" s="4">
        <v>7</v>
      </c>
      <c r="B9" s="5" t="s">
        <v>20</v>
      </c>
      <c r="C9" s="19" t="s">
        <v>62</v>
      </c>
      <c r="D9" s="47">
        <v>46150</v>
      </c>
      <c r="E9" s="47">
        <v>46152</v>
      </c>
      <c r="F9" s="5">
        <f t="shared" si="0"/>
        <v>2</v>
      </c>
      <c r="G9" s="5">
        <v>6</v>
      </c>
      <c r="H9" s="7">
        <v>270</v>
      </c>
      <c r="I9" s="8">
        <f t="shared" si="1"/>
        <v>44.28</v>
      </c>
      <c r="J9" s="9">
        <f t="shared" si="2"/>
        <v>225.72</v>
      </c>
      <c r="K9" s="9">
        <f t="shared" si="3"/>
        <v>56.43</v>
      </c>
      <c r="L9" s="8">
        <f t="shared" si="4"/>
        <v>40.5</v>
      </c>
      <c r="M9" s="8">
        <f t="shared" si="5"/>
        <v>3.7800000000000002</v>
      </c>
      <c r="N9" s="5" t="str">
        <f t="shared" ca="1" si="6"/>
        <v>✅ Terminée</v>
      </c>
      <c r="O9" s="10" t="s">
        <v>41</v>
      </c>
      <c r="P9" s="11" t="s">
        <v>48</v>
      </c>
      <c r="Q9" s="54" t="s">
        <v>86</v>
      </c>
      <c r="R9" s="54" t="s">
        <v>79</v>
      </c>
      <c r="S9" s="18" t="s">
        <v>83</v>
      </c>
      <c r="T9" s="18" t="s">
        <v>83</v>
      </c>
      <c r="U9" s="18" t="s">
        <v>83</v>
      </c>
      <c r="V9" t="str">
        <f>IF(Tableau1[[#This Row],[Origem pais]]&lt;&gt;"Portugal", "Declarar SIBA", "")</f>
        <v>Declarar SIBA</v>
      </c>
    </row>
    <row r="10" spans="1:22" x14ac:dyDescent="0.25">
      <c r="A10" s="12">
        <v>8</v>
      </c>
      <c r="B10" s="13" t="s">
        <v>20</v>
      </c>
      <c r="C10" s="20" t="s">
        <v>49</v>
      </c>
      <c r="D10" s="48">
        <v>46185</v>
      </c>
      <c r="E10" s="48">
        <v>46187</v>
      </c>
      <c r="F10" s="13">
        <f t="shared" si="0"/>
        <v>2</v>
      </c>
      <c r="G10" s="13">
        <v>3</v>
      </c>
      <c r="H10" s="15">
        <v>270</v>
      </c>
      <c r="I10" s="8">
        <f t="shared" si="1"/>
        <v>44.28</v>
      </c>
      <c r="J10" s="16">
        <f t="shared" si="2"/>
        <v>225.72</v>
      </c>
      <c r="K10" s="16">
        <f t="shared" si="3"/>
        <v>56.43</v>
      </c>
      <c r="L10" s="8">
        <f t="shared" si="4"/>
        <v>40.5</v>
      </c>
      <c r="M10" s="8">
        <f t="shared" si="5"/>
        <v>3.7800000000000002</v>
      </c>
      <c r="N10" s="13" t="str">
        <f t="shared" ca="1" si="6"/>
        <v>✅ Terminée</v>
      </c>
      <c r="O10" s="17" t="s">
        <v>39</v>
      </c>
      <c r="P10" s="18" t="s">
        <v>50</v>
      </c>
      <c r="Q10" s="51" t="s">
        <v>85</v>
      </c>
      <c r="R10" s="54" t="s">
        <v>79</v>
      </c>
      <c r="S10" s="18" t="s">
        <v>83</v>
      </c>
      <c r="T10" s="18" t="s">
        <v>83</v>
      </c>
      <c r="U10" s="18" t="s">
        <v>83</v>
      </c>
      <c r="V10" t="str">
        <f>IF(Tableau1[[#This Row],[Origem pais]]&lt;&gt;"Portugal", "Declarar SIBA", "")</f>
        <v/>
      </c>
    </row>
    <row r="11" spans="1:22" ht="21.75" customHeight="1" x14ac:dyDescent="0.25">
      <c r="A11" s="4">
        <v>9</v>
      </c>
      <c r="B11" s="5" t="s">
        <v>20</v>
      </c>
      <c r="C11" s="19" t="s">
        <v>58</v>
      </c>
      <c r="D11" s="47">
        <v>46297</v>
      </c>
      <c r="E11" s="47">
        <v>46299</v>
      </c>
      <c r="F11" s="13">
        <f>IF(AND(D11&lt;&gt;"",E11&lt;&gt;""),E11-D11,"")</f>
        <v>2</v>
      </c>
      <c r="G11" s="5">
        <v>6</v>
      </c>
      <c r="H11" s="15">
        <v>270</v>
      </c>
      <c r="I11" s="8">
        <f>IF(B11="Direto","",IF(B11="Airbnb",IF(H11&lt;&gt;"",H11*0.03+H11*0.03*0.2,""),IF(B11="Booking.com",IF(H11&lt;&gt;"",H11*0.15+H11*0.014,""),"")))</f>
        <v>44.28</v>
      </c>
      <c r="J11" s="16">
        <f>IF(B11="Direto",IF(H11&lt;&gt;"",H11,""),IF(H11&lt;&gt;"",H11-IF(I11&lt;&gt;"",I11,0),""))</f>
        <v>225.72</v>
      </c>
      <c r="K11" s="16">
        <f>IF(J11&lt;&gt;"",J11*0.25,"")</f>
        <v>56.43</v>
      </c>
      <c r="L11" s="8">
        <f>IF(B11="Airbnb",IF(H11&lt;&gt;"",H11*0.03,""),IF(B11="Booking.com",IF(H11&lt;&gt;"",H11*0.15,""),""))</f>
        <v>40.5</v>
      </c>
      <c r="M11" s="8">
        <f>IF(B11="Airbnb",IF(L11&lt;&gt;"",L11*0.2,""),IF(B11="Booking.com",IF(H11&lt;&gt;"",H11*0.014,""),""))</f>
        <v>3.7800000000000002</v>
      </c>
      <c r="N11" s="13" t="str">
        <f ca="1">IF(D11="","",IF(E11&lt;TODAY(),"✅ Terminée",IF(D11&lt;=TODAY(),"🟡 En cours","🔵 À venir")))</f>
        <v>✅ Terminée</v>
      </c>
      <c r="O11" s="17" t="s">
        <v>39</v>
      </c>
      <c r="P11" s="18" t="s">
        <v>59</v>
      </c>
      <c r="Q11" s="51" t="s">
        <v>86</v>
      </c>
      <c r="R11" s="54" t="s">
        <v>79</v>
      </c>
      <c r="S11" s="54"/>
      <c r="T11" s="18"/>
      <c r="U11" s="18"/>
      <c r="V11" t="str">
        <f>IF(Tableau1[[#This Row],[Origem pais]]&lt;&gt;"Portugal", "Declarar SIBA", "")</f>
        <v>Declarar SIBA</v>
      </c>
    </row>
    <row r="12" spans="1:22" ht="21.75" customHeight="1" x14ac:dyDescent="0.25">
      <c r="A12" s="12">
        <v>10</v>
      </c>
      <c r="B12" s="5" t="s">
        <v>20</v>
      </c>
      <c r="C12" s="19" t="s">
        <v>56</v>
      </c>
      <c r="D12" s="47">
        <v>46236</v>
      </c>
      <c r="E12" s="47">
        <v>46240</v>
      </c>
      <c r="F12" s="13">
        <f>IF(AND(D12&lt;&gt;"",E12&lt;&gt;""),E12-D12,"")</f>
        <v>4</v>
      </c>
      <c r="G12" s="5">
        <v>2</v>
      </c>
      <c r="H12" s="15">
        <v>540</v>
      </c>
      <c r="I12" s="8">
        <f>IF(B12="Direto","",IF(B12="Airbnb",IF(H12&lt;&gt;"",H12*0.03+H12*0.03*0.2,""),IF(B12="Booking.com",IF(H12&lt;&gt;"",H12*0.15+H12*0.014,""),"")))</f>
        <v>88.56</v>
      </c>
      <c r="J12" s="16">
        <f>IF(B12="Direto",IF(H12&lt;&gt;"",H12,""),IF(H12&lt;&gt;"",H12-IF(I12&lt;&gt;"",I12,0),""))</f>
        <v>451.44</v>
      </c>
      <c r="K12" s="16">
        <f>IF(J12&lt;&gt;"",J12*0.25,"")</f>
        <v>112.86</v>
      </c>
      <c r="L12" s="8">
        <f>IF(B12="Airbnb",IF(H12&lt;&gt;"",H12*0.03,""),IF(B12="Booking.com",IF(H12&lt;&gt;"",H12*0.15,""),""))</f>
        <v>81</v>
      </c>
      <c r="M12" s="8">
        <f>IF(B12="Airbnb",IF(L12&lt;&gt;"",L12*0.2,""),IF(B12="Booking.com",IF(H12&lt;&gt;"",H12*0.014,""),""))</f>
        <v>7.5600000000000005</v>
      </c>
      <c r="N12" s="13" t="str">
        <f ca="1">IF(D12="","",IF(E12&lt;TODAY(),"✅ Terminée",IF(D12&lt;=TODAY(),"🟡 En cours","🔵 À venir")))</f>
        <v>✅ Terminée</v>
      </c>
      <c r="O12" s="17" t="s">
        <v>39</v>
      </c>
      <c r="P12" s="18" t="s">
        <v>57</v>
      </c>
      <c r="Q12" s="51" t="s">
        <v>87</v>
      </c>
      <c r="R12" s="54" t="s">
        <v>79</v>
      </c>
      <c r="S12" s="18" t="s">
        <v>89</v>
      </c>
      <c r="T12" s="18" t="s">
        <v>89</v>
      </c>
      <c r="U12" s="18" t="s">
        <v>83</v>
      </c>
      <c r="V12" t="str">
        <f>IF(Tableau1[[#This Row],[Origem pais]]&lt;&gt;"Portugal", "Declarar SIBA", "")</f>
        <v>Declarar SIBA</v>
      </c>
    </row>
    <row r="13" spans="1:22" ht="21.75" customHeight="1" x14ac:dyDescent="0.25">
      <c r="A13" s="4">
        <v>11</v>
      </c>
      <c r="B13" s="5" t="s">
        <v>20</v>
      </c>
      <c r="C13" s="19" t="s">
        <v>60</v>
      </c>
      <c r="D13" s="47">
        <v>46291</v>
      </c>
      <c r="E13" s="47">
        <v>46295</v>
      </c>
      <c r="F13" s="13">
        <f>IF(AND(D13&lt;&gt;"",E13&lt;&gt;""),E13-D13,"")</f>
        <v>4</v>
      </c>
      <c r="G13" s="5">
        <v>7</v>
      </c>
      <c r="H13" s="15">
        <v>680</v>
      </c>
      <c r="I13" s="8">
        <f>IF(B13="Direto","",IF(B13="Airbnb",IF(H13&lt;&gt;"",H13*0.03+H13*0.03*0.2,""),IF(B13="Booking.com",IF(H13&lt;&gt;"",H13*0.15+H13*0.014,""),"")))</f>
        <v>111.52</v>
      </c>
      <c r="J13" s="16">
        <f>IF(B13="Direto",IF(H13&lt;&gt;"",H13,""),IF(H13&lt;&gt;"",H13-IF(I13&lt;&gt;"",I13,0),""))</f>
        <v>568.48</v>
      </c>
      <c r="K13" s="16">
        <f>IF(J13&lt;&gt;"",J13*0.25,"")</f>
        <v>142.12</v>
      </c>
      <c r="L13" s="8">
        <f>IF(B13="Airbnb",IF(H13&lt;&gt;"",H13*0.03,""),IF(B13="Booking.com",IF(H13&lt;&gt;"",H13*0.15,""),""))</f>
        <v>102</v>
      </c>
      <c r="M13" s="8">
        <f>IF(B13="Airbnb",IF(L13&lt;&gt;"",L13*0.2,""),IF(B13="Booking.com",IF(H13&lt;&gt;"",H13*0.014,""),""))</f>
        <v>9.52</v>
      </c>
      <c r="N13" s="13" t="str">
        <f ca="1">IF(D13="","",IF(E13&lt;TODAY(),"✅ Terminée",IF(D13&lt;=TODAY(),"🟡 En cours","🔵 À venir")))</f>
        <v>✅ Terminée</v>
      </c>
      <c r="O13" s="17" t="s">
        <v>39</v>
      </c>
      <c r="P13" s="18" t="s">
        <v>61</v>
      </c>
      <c r="Q13" s="51" t="s">
        <v>85</v>
      </c>
      <c r="R13" s="54" t="s">
        <v>79</v>
      </c>
      <c r="S13" s="54" t="s">
        <v>83</v>
      </c>
      <c r="T13" s="18" t="s">
        <v>83</v>
      </c>
      <c r="U13" s="18" t="s">
        <v>83</v>
      </c>
      <c r="V13" t="str">
        <f>IF(Tableau1[[#This Row],[Origem pais]]&lt;&gt;"Portugal", "Declarar SIBA", "")</f>
        <v/>
      </c>
    </row>
    <row r="14" spans="1:22" ht="21.75" customHeight="1" x14ac:dyDescent="0.25">
      <c r="A14" s="4">
        <v>12</v>
      </c>
      <c r="B14" s="13" t="s">
        <v>53</v>
      </c>
      <c r="C14" s="20" t="s">
        <v>54</v>
      </c>
      <c r="D14" s="48">
        <v>46175</v>
      </c>
      <c r="E14" s="48">
        <v>46178</v>
      </c>
      <c r="F14" s="13">
        <f>IF(AND(D14&lt;&gt;"",E14&lt;&gt;""),E14-D14,"")</f>
        <v>3</v>
      </c>
      <c r="G14" s="13">
        <v>5</v>
      </c>
      <c r="H14" s="15">
        <v>364.5</v>
      </c>
      <c r="I14" s="8"/>
      <c r="J14" s="16">
        <v>328.67</v>
      </c>
      <c r="K14" s="16">
        <f>IF(J14&lt;&gt;"",J14*0.25,"")</f>
        <v>82.167500000000004</v>
      </c>
      <c r="L14" s="8"/>
      <c r="M14" s="8"/>
      <c r="N14" s="13" t="str">
        <f ca="1">IF(D14="","",IF(E14&lt;TODAY(),"✅ Terminée",IF(D14&lt;=TODAY(),"🟡 En cours","🔵 À venir")))</f>
        <v>✅ Terminée</v>
      </c>
      <c r="O14" s="17" t="s">
        <v>39</v>
      </c>
      <c r="P14" s="18" t="s">
        <v>55</v>
      </c>
      <c r="Q14" s="51" t="s">
        <v>85</v>
      </c>
      <c r="R14" s="54" t="s">
        <v>79</v>
      </c>
      <c r="S14" s="59" t="s">
        <v>83</v>
      </c>
      <c r="T14" s="18" t="s">
        <v>90</v>
      </c>
      <c r="U14" s="18" t="s">
        <v>90</v>
      </c>
      <c r="V14" t="str">
        <f>IF(Tableau1[[#This Row],[Origem pais]]&lt;&gt;"Portugal", "Declarar SIBA", "")</f>
        <v/>
      </c>
    </row>
    <row r="15" spans="1:22" ht="21.75" customHeight="1" x14ac:dyDescent="0.25">
      <c r="A15" s="12">
        <v>13</v>
      </c>
      <c r="B15" s="13" t="s">
        <v>51</v>
      </c>
      <c r="C15" s="20" t="s">
        <v>52</v>
      </c>
      <c r="D15" s="48">
        <v>46143</v>
      </c>
      <c r="E15" s="48">
        <v>46144</v>
      </c>
      <c r="F15" s="13">
        <f>IF(AND(D15&lt;&gt;"",E15&lt;&gt;""),E15-D15,"")</f>
        <v>1</v>
      </c>
      <c r="G15" s="13">
        <v>3</v>
      </c>
      <c r="H15" s="15">
        <v>130</v>
      </c>
      <c r="I15" s="8" t="str">
        <f>IF(B15="Direto","",IF(B15="Airbnb",IF(H15&lt;&gt;"",H15*0.03+H15*0.03*0.2,""),IF(B15="Booking.com",IF(H15&lt;&gt;"",H15*0.15+H15*0.014,""),"")))</f>
        <v/>
      </c>
      <c r="J15" s="16">
        <f>IF(B15="Direto",IF(H15&lt;&gt;"",H15,""),IF(H15&lt;&gt;"",H15-IF(I15&lt;&gt;"",I15,0),""))</f>
        <v>130</v>
      </c>
      <c r="K15" s="16">
        <f>IF(J15&lt;&gt;"",J15*0.25,"")</f>
        <v>32.5</v>
      </c>
      <c r="L15" s="8" t="str">
        <f>IF(B15="Airbnb",IF(H15&lt;&gt;"",H15*0.03,""),IF(B15="Booking.com",IF(H15&lt;&gt;"",H15*0.15,""),""))</f>
        <v/>
      </c>
      <c r="M15" s="8" t="str">
        <f>IF(B15="Airbnb",IF(L15&lt;&gt;"",L15*0.2,""),IF(B15="Booking.com",IF(H15&lt;&gt;"",H15*0.014,""),""))</f>
        <v/>
      </c>
      <c r="N15" s="13" t="str">
        <f ca="1">IF(D15="","",IF(E15&lt;TODAY(),"✅ Terminée",IF(D15&lt;=TODAY(),"🟡 En cours","🔵 À venir")))</f>
        <v>✅ Terminée</v>
      </c>
      <c r="O15" s="17" t="s">
        <v>39</v>
      </c>
      <c r="P15" s="18" t="s">
        <v>50</v>
      </c>
      <c r="Q15" s="55" t="s">
        <v>85</v>
      </c>
      <c r="R15" s="54" t="s">
        <v>79</v>
      </c>
      <c r="S15" s="54" t="s">
        <v>74</v>
      </c>
      <c r="T15" s="18" t="s">
        <v>74</v>
      </c>
      <c r="U15" s="18" t="s">
        <v>74</v>
      </c>
      <c r="V15" t="str">
        <f>IF(Tableau1[[#This Row],[Origem pais]]&lt;&gt;"Portugal", "Declarar SIBA", "")</f>
        <v/>
      </c>
    </row>
    <row r="16" spans="1:22" ht="21.75" customHeight="1" x14ac:dyDescent="0.25">
      <c r="A16" s="4">
        <v>14</v>
      </c>
      <c r="B16" s="5" t="s">
        <v>20</v>
      </c>
      <c r="C16" s="19" t="s">
        <v>63</v>
      </c>
      <c r="D16" s="47">
        <v>46275</v>
      </c>
      <c r="E16" s="47">
        <v>46279</v>
      </c>
      <c r="F16" s="5">
        <f t="shared" si="0"/>
        <v>4</v>
      </c>
      <c r="G16" s="5">
        <v>3</v>
      </c>
      <c r="H16" s="7">
        <v>600</v>
      </c>
      <c r="I16" s="8">
        <f t="shared" si="1"/>
        <v>98.4</v>
      </c>
      <c r="J16" s="9">
        <f t="shared" si="2"/>
        <v>501.6</v>
      </c>
      <c r="K16" s="9">
        <f t="shared" si="3"/>
        <v>125.4</v>
      </c>
      <c r="L16" s="8">
        <f t="shared" si="4"/>
        <v>90</v>
      </c>
      <c r="M16" s="8">
        <f t="shared" si="5"/>
        <v>8.4</v>
      </c>
      <c r="N16" s="5" t="str">
        <f t="shared" ca="1" si="6"/>
        <v>✅ Terminée</v>
      </c>
      <c r="O16" s="10" t="s">
        <v>39</v>
      </c>
      <c r="P16" s="11" t="s">
        <v>65</v>
      </c>
      <c r="Q16" s="54" t="s">
        <v>88</v>
      </c>
      <c r="R16" s="54" t="s">
        <v>79</v>
      </c>
      <c r="S16" s="59" t="s">
        <v>83</v>
      </c>
      <c r="T16" s="18" t="s">
        <v>83</v>
      </c>
      <c r="U16" s="18" t="s">
        <v>83</v>
      </c>
      <c r="V16" t="str">
        <f>IF(Tableau1[[#This Row],[Origem pais]]&lt;&gt;"Portugal", "Declarar SIBA", "")</f>
        <v>Declarar SIBA</v>
      </c>
    </row>
    <row r="17" spans="1:22" ht="21.75" customHeight="1" x14ac:dyDescent="0.25">
      <c r="A17" s="4">
        <v>15</v>
      </c>
      <c r="B17" s="13" t="s">
        <v>20</v>
      </c>
      <c r="C17" s="20" t="s">
        <v>64</v>
      </c>
      <c r="D17" s="48">
        <v>46521</v>
      </c>
      <c r="E17" s="48">
        <v>46523</v>
      </c>
      <c r="F17" s="13">
        <f t="shared" si="0"/>
        <v>2</v>
      </c>
      <c r="G17" s="13">
        <v>4</v>
      </c>
      <c r="H17" s="15">
        <v>270</v>
      </c>
      <c r="I17" s="8">
        <f t="shared" si="1"/>
        <v>44.28</v>
      </c>
      <c r="J17" s="35">
        <f t="shared" si="2"/>
        <v>225.72</v>
      </c>
      <c r="K17" s="16">
        <f t="shared" si="3"/>
        <v>56.43</v>
      </c>
      <c r="L17" s="8">
        <f t="shared" si="4"/>
        <v>40.5</v>
      </c>
      <c r="M17" s="8">
        <f t="shared" si="5"/>
        <v>3.7800000000000002</v>
      </c>
      <c r="N17" s="13" t="str">
        <f t="shared" ca="1" si="6"/>
        <v>🔵 À venir</v>
      </c>
      <c r="O17" s="17" t="s">
        <v>39</v>
      </c>
      <c r="P17" s="18" t="s">
        <v>66</v>
      </c>
      <c r="Q17" s="51" t="s">
        <v>85</v>
      </c>
      <c r="R17" s="54" t="s">
        <v>79</v>
      </c>
      <c r="S17" s="54"/>
      <c r="T17" s="18"/>
      <c r="U17" s="18"/>
      <c r="V17" t="str">
        <f>IF(Tableau1[[#This Row],[Origem pais]]&lt;&gt;"Portugal", "Declarar SIBA", "")</f>
        <v/>
      </c>
    </row>
    <row r="18" spans="1:22" x14ac:dyDescent="0.25">
      <c r="A18" s="12">
        <v>16</v>
      </c>
      <c r="B18" s="5" t="s">
        <v>17</v>
      </c>
      <c r="C18" s="19" t="s">
        <v>67</v>
      </c>
      <c r="D18" s="48">
        <v>46166</v>
      </c>
      <c r="E18" s="48">
        <v>46169</v>
      </c>
      <c r="F18" s="5">
        <f t="shared" si="0"/>
        <v>3</v>
      </c>
      <c r="G18" s="5">
        <v>4</v>
      </c>
      <c r="H18" s="7">
        <v>405</v>
      </c>
      <c r="I18" s="8">
        <f t="shared" si="1"/>
        <v>14.58</v>
      </c>
      <c r="J18" s="9">
        <f t="shared" si="2"/>
        <v>390.42</v>
      </c>
      <c r="K18" s="9">
        <f t="shared" si="3"/>
        <v>97.605000000000004</v>
      </c>
      <c r="L18" s="8">
        <f t="shared" si="4"/>
        <v>12.15</v>
      </c>
      <c r="M18" s="8">
        <f t="shared" si="5"/>
        <v>2.4300000000000002</v>
      </c>
      <c r="N18" s="5" t="str">
        <f t="shared" ca="1" si="6"/>
        <v>✅ Terminée</v>
      </c>
      <c r="O18" s="10" t="s">
        <v>40</v>
      </c>
      <c r="P18" s="11" t="s">
        <v>68</v>
      </c>
      <c r="Q18" s="54" t="s">
        <v>85</v>
      </c>
      <c r="R18" s="54" t="s">
        <v>79</v>
      </c>
      <c r="S18" s="59" t="s">
        <v>83</v>
      </c>
      <c r="T18" s="18" t="s">
        <v>74</v>
      </c>
      <c r="U18" s="18" t="s">
        <v>74</v>
      </c>
      <c r="V18" t="str">
        <f>IF(Tableau1[[#This Row],[Origem pais]]&lt;&gt;"Portugal", "Declarar SIBA", "")</f>
        <v/>
      </c>
    </row>
    <row r="19" spans="1:22" x14ac:dyDescent="0.25">
      <c r="A19" s="4">
        <v>17</v>
      </c>
      <c r="B19" s="13" t="s">
        <v>51</v>
      </c>
      <c r="C19" s="20" t="s">
        <v>69</v>
      </c>
      <c r="D19" s="48">
        <v>46219</v>
      </c>
      <c r="E19" s="48">
        <v>46223</v>
      </c>
      <c r="F19" s="13">
        <v>3</v>
      </c>
      <c r="G19" s="13" t="s">
        <v>70</v>
      </c>
      <c r="H19" s="15">
        <v>120</v>
      </c>
      <c r="I19" s="8" t="str">
        <f t="shared" si="1"/>
        <v/>
      </c>
      <c r="J19" s="16">
        <f>Tableau1[[#This Row],[Prix brut (€)]]*Tableau1[[#This Row],[Nuits]]</f>
        <v>360</v>
      </c>
      <c r="K19" s="16">
        <f t="shared" si="3"/>
        <v>90</v>
      </c>
      <c r="L19" s="8" t="str">
        <f t="shared" si="4"/>
        <v/>
      </c>
      <c r="M19" s="8" t="str">
        <f t="shared" si="5"/>
        <v/>
      </c>
      <c r="N19" s="13" t="str">
        <f t="shared" ca="1" si="6"/>
        <v>✅ Terminée</v>
      </c>
      <c r="O19" s="17" t="s">
        <v>70</v>
      </c>
      <c r="P19" s="18" t="s">
        <v>70</v>
      </c>
      <c r="Q19" s="55" t="s">
        <v>85</v>
      </c>
      <c r="R19" s="54" t="s">
        <v>79</v>
      </c>
      <c r="S19" s="54" t="s">
        <v>74</v>
      </c>
      <c r="T19" s="18" t="s">
        <v>74</v>
      </c>
      <c r="U19" s="18" t="s">
        <v>74</v>
      </c>
      <c r="V19" t="str">
        <f>IF(Tableau1[[#This Row],[Origem pais]]&lt;&gt;"Portugal", "Declarar SIBA", "")</f>
        <v/>
      </c>
    </row>
    <row r="20" spans="1:22" x14ac:dyDescent="0.25">
      <c r="A20" s="12">
        <v>18</v>
      </c>
      <c r="B20" s="5" t="s">
        <v>20</v>
      </c>
      <c r="C20" s="38" t="s">
        <v>75</v>
      </c>
      <c r="D20" s="48">
        <v>46250</v>
      </c>
      <c r="E20" s="48">
        <v>46255</v>
      </c>
      <c r="F20" s="5">
        <f t="shared" si="0"/>
        <v>5</v>
      </c>
      <c r="G20" s="5">
        <v>3</v>
      </c>
      <c r="H20" s="7">
        <v>607.5</v>
      </c>
      <c r="I20" s="8">
        <f>104.5</f>
        <v>104.5</v>
      </c>
      <c r="J20" s="9">
        <f t="shared" si="2"/>
        <v>503</v>
      </c>
      <c r="K20" s="9">
        <f t="shared" si="3"/>
        <v>125.75</v>
      </c>
      <c r="L20" s="8">
        <f t="shared" si="4"/>
        <v>91.125</v>
      </c>
      <c r="M20" s="8">
        <f t="shared" si="5"/>
        <v>8.5050000000000008</v>
      </c>
      <c r="N20" s="5" t="str">
        <f t="shared" ca="1" si="6"/>
        <v>✅ Terminée</v>
      </c>
      <c r="O20" s="10" t="s">
        <v>39</v>
      </c>
      <c r="P20" s="41" t="s">
        <v>72</v>
      </c>
      <c r="Q20" s="55" t="s">
        <v>85</v>
      </c>
      <c r="R20" s="54" t="s">
        <v>79</v>
      </c>
      <c r="S20" s="18" t="s">
        <v>83</v>
      </c>
      <c r="T20" s="18" t="s">
        <v>83</v>
      </c>
      <c r="U20" s="18" t="s">
        <v>83</v>
      </c>
      <c r="V20" t="str">
        <f>IF(Tableau1[[#This Row],[Origem pais]]&lt;&gt;"Portugal", "Declarar SIBA", "")</f>
        <v/>
      </c>
    </row>
    <row r="21" spans="1:22" x14ac:dyDescent="0.25">
      <c r="A21" s="4">
        <v>19</v>
      </c>
      <c r="B21" s="39" t="s">
        <v>20</v>
      </c>
      <c r="C21" s="40" t="s">
        <v>71</v>
      </c>
      <c r="D21" s="48">
        <v>46257</v>
      </c>
      <c r="E21" s="48">
        <v>46261</v>
      </c>
      <c r="F21" s="13">
        <f t="shared" si="0"/>
        <v>4</v>
      </c>
      <c r="G21" s="13">
        <v>4</v>
      </c>
      <c r="H21" s="15">
        <v>486</v>
      </c>
      <c r="I21" s="8">
        <v>84.6</v>
      </c>
      <c r="J21" s="16">
        <f t="shared" si="2"/>
        <v>401.4</v>
      </c>
      <c r="K21" s="16">
        <f t="shared" si="3"/>
        <v>100.35</v>
      </c>
      <c r="L21" s="8">
        <f t="shared" si="4"/>
        <v>72.899999999999991</v>
      </c>
      <c r="M21" s="8">
        <f t="shared" si="5"/>
        <v>6.8040000000000003</v>
      </c>
      <c r="N21" s="13" t="str">
        <f t="shared" ca="1" si="6"/>
        <v>✅ Terminée</v>
      </c>
      <c r="O21" s="17" t="s">
        <v>41</v>
      </c>
      <c r="P21" s="42" t="s">
        <v>73</v>
      </c>
      <c r="Q21" s="55" t="s">
        <v>85</v>
      </c>
      <c r="R21" s="54" t="s">
        <v>79</v>
      </c>
      <c r="S21" s="59" t="s">
        <v>83</v>
      </c>
      <c r="T21" s="18" t="s">
        <v>83</v>
      </c>
      <c r="U21" s="18" t="s">
        <v>83</v>
      </c>
      <c r="V21" t="str">
        <f>IF(Tableau1[[#This Row],[Origem pais]]&lt;&gt;"Portugal", "Declarar SIBA", "")</f>
        <v/>
      </c>
    </row>
    <row r="22" spans="1:22" x14ac:dyDescent="0.25">
      <c r="A22" s="43">
        <v>20</v>
      </c>
      <c r="B22" s="5" t="s">
        <v>51</v>
      </c>
      <c r="C22" s="19" t="s">
        <v>75</v>
      </c>
      <c r="D22" s="47">
        <v>46261</v>
      </c>
      <c r="E22" s="47">
        <v>46275</v>
      </c>
      <c r="F22" s="5">
        <f t="shared" si="0"/>
        <v>14</v>
      </c>
      <c r="G22" s="5">
        <v>4</v>
      </c>
      <c r="H22" s="7">
        <v>1400</v>
      </c>
      <c r="I22" s="8" t="str">
        <f t="shared" si="1"/>
        <v/>
      </c>
      <c r="J22" s="9">
        <f t="shared" si="2"/>
        <v>1400</v>
      </c>
      <c r="K22" s="9">
        <f t="shared" si="3"/>
        <v>350</v>
      </c>
      <c r="L22" s="8" t="str">
        <f t="shared" si="4"/>
        <v/>
      </c>
      <c r="M22" s="8" t="str">
        <f t="shared" si="5"/>
        <v/>
      </c>
      <c r="N22" s="5" t="str">
        <f t="shared" ca="1" si="6"/>
        <v>✅ Terminée</v>
      </c>
      <c r="O22" s="10" t="s">
        <v>39</v>
      </c>
      <c r="P22" s="41" t="s">
        <v>72</v>
      </c>
      <c r="Q22" s="55" t="s">
        <v>85</v>
      </c>
      <c r="R22" s="41"/>
      <c r="S22" s="18" t="s">
        <v>83</v>
      </c>
      <c r="T22" s="18" t="s">
        <v>74</v>
      </c>
      <c r="U22" s="18" t="s">
        <v>74</v>
      </c>
      <c r="V22" t="str">
        <f>IF(Tableau1[[#This Row],[Origem pais]]&lt;&gt;"Portugal", "Declarar SIBA", "")</f>
        <v/>
      </c>
    </row>
    <row r="23" spans="1:22" x14ac:dyDescent="0.25">
      <c r="A23" s="12">
        <v>21</v>
      </c>
      <c r="B23" s="13" t="s">
        <v>20</v>
      </c>
      <c r="C23" s="20" t="s">
        <v>119</v>
      </c>
      <c r="D23" s="48">
        <v>46345</v>
      </c>
      <c r="E23" s="48">
        <v>46348</v>
      </c>
      <c r="F23" s="13">
        <f t="shared" si="0"/>
        <v>3</v>
      </c>
      <c r="G23" s="13">
        <v>4</v>
      </c>
      <c r="H23" s="15">
        <v>328.05</v>
      </c>
      <c r="I23" s="8">
        <f t="shared" si="1"/>
        <v>53.800200000000004</v>
      </c>
      <c r="J23" s="16">
        <f t="shared" si="2"/>
        <v>274.24979999999999</v>
      </c>
      <c r="K23" s="16">
        <f t="shared" si="3"/>
        <v>68.562449999999998</v>
      </c>
      <c r="L23" s="8">
        <f t="shared" si="4"/>
        <v>49.207500000000003</v>
      </c>
      <c r="M23" s="8">
        <f t="shared" si="5"/>
        <v>4.5927000000000007</v>
      </c>
      <c r="N23" s="13" t="str">
        <f t="shared" ca="1" si="6"/>
        <v>🔵 À venir</v>
      </c>
      <c r="O23" s="17" t="s">
        <v>120</v>
      </c>
      <c r="P23" s="18" t="s">
        <v>121</v>
      </c>
      <c r="Q23" s="42" t="s">
        <v>85</v>
      </c>
      <c r="R23" s="18"/>
      <c r="S23" s="18"/>
      <c r="T23" s="18"/>
      <c r="U23" s="18"/>
      <c r="V23" t="str">
        <f>IF(Tableau1[[#This Row],[Origem pais]]&lt;&gt;"Portugal", "Declarar SIBA", "")</f>
        <v/>
      </c>
    </row>
    <row r="24" spans="1:22" x14ac:dyDescent="0.25">
      <c r="A24" s="4">
        <v>22</v>
      </c>
      <c r="B24" s="5" t="s">
        <v>17</v>
      </c>
      <c r="C24" s="6" t="s">
        <v>122</v>
      </c>
      <c r="D24" s="47">
        <v>46309</v>
      </c>
      <c r="E24" s="47">
        <v>46333</v>
      </c>
      <c r="F24" s="13">
        <f t="shared" si="0"/>
        <v>24</v>
      </c>
      <c r="G24" s="5">
        <v>3</v>
      </c>
      <c r="H24" s="15">
        <v>1500</v>
      </c>
      <c r="I24" s="8">
        <f>IF(B24="Direto","",IF(B24="Airbnb",IF(H24&lt;&gt;"",H24*0.19065333333,""),IF(B24="Booking.com",IF(H24&lt;&gt;"",H24*0.15+H24*0.014,""),"")))</f>
        <v>285.97999999500001</v>
      </c>
      <c r="J24" s="16">
        <f t="shared" si="2"/>
        <v>1214.0200000049999</v>
      </c>
      <c r="K24" s="16">
        <f t="shared" si="3"/>
        <v>303.50500000124998</v>
      </c>
      <c r="L24" s="8">
        <f t="shared" si="4"/>
        <v>45</v>
      </c>
      <c r="M24" s="8">
        <f t="shared" si="5"/>
        <v>9</v>
      </c>
      <c r="N24" s="13" t="str">
        <f t="shared" ca="1" si="6"/>
        <v>🟡 En cours</v>
      </c>
      <c r="O24" s="17" t="s">
        <v>39</v>
      </c>
      <c r="P24" s="42" t="s">
        <v>123</v>
      </c>
      <c r="Q24" s="42" t="s">
        <v>85</v>
      </c>
      <c r="R24" s="18"/>
      <c r="S24" s="18"/>
      <c r="T24" s="18"/>
      <c r="U24" s="18"/>
      <c r="V24" t="str">
        <f>IF(Tableau1[[#This Row],[Origem pais]]&lt;&gt;"Portugal", "Declarar SIBA", "")</f>
        <v/>
      </c>
    </row>
    <row r="25" spans="1:22" x14ac:dyDescent="0.25">
      <c r="A25" s="4">
        <v>23</v>
      </c>
      <c r="B25" s="13" t="s">
        <v>20</v>
      </c>
      <c r="C25" s="20" t="s">
        <v>124</v>
      </c>
      <c r="D25" s="47">
        <v>46339</v>
      </c>
      <c r="E25" s="47">
        <v>46341</v>
      </c>
      <c r="F25" s="13">
        <f t="shared" si="0"/>
        <v>2</v>
      </c>
      <c r="G25" s="5">
        <v>3</v>
      </c>
      <c r="H25" s="15">
        <v>218.7</v>
      </c>
      <c r="I25" s="8">
        <f t="shared" si="1"/>
        <v>35.866799999999998</v>
      </c>
      <c r="J25" s="16">
        <f t="shared" si="2"/>
        <v>182.83319999999998</v>
      </c>
      <c r="K25" s="16">
        <f t="shared" si="3"/>
        <v>45.708299999999994</v>
      </c>
      <c r="L25" s="8">
        <f t="shared" si="4"/>
        <v>32.805</v>
      </c>
      <c r="M25" s="8">
        <f t="shared" si="5"/>
        <v>3.0617999999999999</v>
      </c>
      <c r="N25" s="13" t="str">
        <f t="shared" ca="1" si="6"/>
        <v>🔵 À venir</v>
      </c>
      <c r="O25" s="17" t="s">
        <v>39</v>
      </c>
      <c r="P25" s="18" t="s">
        <v>125</v>
      </c>
      <c r="Q25" s="18" t="s">
        <v>85</v>
      </c>
      <c r="R25" s="18"/>
      <c r="S25" s="18"/>
      <c r="T25" s="18"/>
      <c r="U25" s="18"/>
      <c r="V25" t="str">
        <f>IF(Tableau1[[#This Row],[Origem pais]]&lt;&gt;"Portugal", "Declarar SIBA", "")</f>
        <v/>
      </c>
    </row>
    <row r="26" spans="1:22" x14ac:dyDescent="0.25">
      <c r="A26" s="12">
        <v>24</v>
      </c>
      <c r="B26" s="5" t="s">
        <v>20</v>
      </c>
      <c r="C26" s="19" t="s">
        <v>126</v>
      </c>
      <c r="D26" s="47">
        <v>46334</v>
      </c>
      <c r="E26" s="47">
        <v>46337</v>
      </c>
      <c r="F26" s="13">
        <f t="shared" si="0"/>
        <v>3</v>
      </c>
      <c r="G26" s="5">
        <v>4</v>
      </c>
      <c r="H26" s="15">
        <v>328.05</v>
      </c>
      <c r="I26" s="8">
        <f t="shared" si="1"/>
        <v>53.800200000000004</v>
      </c>
      <c r="J26" s="16">
        <f t="shared" si="2"/>
        <v>274.24979999999999</v>
      </c>
      <c r="K26" s="16">
        <f t="shared" si="3"/>
        <v>68.562449999999998</v>
      </c>
      <c r="L26" s="8">
        <f t="shared" si="4"/>
        <v>49.207500000000003</v>
      </c>
      <c r="M26" s="8">
        <f t="shared" si="5"/>
        <v>4.5927000000000007</v>
      </c>
      <c r="N26" s="13" t="str">
        <f t="shared" ca="1" si="6"/>
        <v>🔵 À venir</v>
      </c>
      <c r="O26" s="17" t="s">
        <v>120</v>
      </c>
      <c r="P26" s="18" t="s">
        <v>127</v>
      </c>
      <c r="Q26" s="18" t="s">
        <v>85</v>
      </c>
      <c r="R26" s="18"/>
      <c r="S26" s="18"/>
      <c r="T26" s="18"/>
      <c r="U26" s="18"/>
      <c r="V26" t="str">
        <f>IF(Tableau1[[#This Row],[Origem pais]]&lt;&gt;"Portugal", "Declarar SIBA", "")</f>
        <v/>
      </c>
    </row>
    <row r="27" spans="1:22" x14ac:dyDescent="0.25">
      <c r="A27" s="4">
        <v>25</v>
      </c>
      <c r="B27" s="13" t="s">
        <v>20</v>
      </c>
      <c r="C27" s="40" t="s">
        <v>128</v>
      </c>
      <c r="D27" s="48">
        <v>46380</v>
      </c>
      <c r="E27" s="48">
        <v>46383</v>
      </c>
      <c r="F27" s="13">
        <f t="shared" si="0"/>
        <v>3</v>
      </c>
      <c r="G27" s="13">
        <v>4</v>
      </c>
      <c r="H27" s="15">
        <v>328.05</v>
      </c>
      <c r="I27" s="8">
        <f t="shared" si="1"/>
        <v>53.800200000000004</v>
      </c>
      <c r="J27" s="16">
        <f t="shared" si="2"/>
        <v>274.24979999999999</v>
      </c>
      <c r="K27" s="16">
        <f t="shared" si="3"/>
        <v>68.562449999999998</v>
      </c>
      <c r="L27" s="8">
        <f t="shared" si="4"/>
        <v>49.207500000000003</v>
      </c>
      <c r="M27" s="8">
        <f t="shared" si="5"/>
        <v>4.5927000000000007</v>
      </c>
      <c r="N27" s="13" t="str">
        <f t="shared" ca="1" si="6"/>
        <v>🔵 À venir</v>
      </c>
      <c r="O27" s="17" t="s">
        <v>39</v>
      </c>
      <c r="P27" s="18" t="s">
        <v>129</v>
      </c>
      <c r="Q27" s="42" t="s">
        <v>86</v>
      </c>
      <c r="R27" s="18"/>
      <c r="S27" s="18"/>
      <c r="T27" s="18"/>
      <c r="U27" s="18"/>
      <c r="V27" t="str">
        <f>IF(Tableau1[[#This Row],[Origem pais]]&lt;&gt;"Portugal", "Declarar SIBA", "")</f>
        <v>Declarar SIBA</v>
      </c>
    </row>
    <row r="28" spans="1:22" x14ac:dyDescent="0.25">
      <c r="A28" s="12">
        <v>26</v>
      </c>
      <c r="B28" s="5" t="s">
        <v>20</v>
      </c>
      <c r="C28" s="6" t="s">
        <v>130</v>
      </c>
      <c r="D28" s="48">
        <v>46591</v>
      </c>
      <c r="E28" s="48">
        <v>46594</v>
      </c>
      <c r="F28" s="13">
        <f t="shared" si="0"/>
        <v>3</v>
      </c>
      <c r="G28" s="13">
        <v>4</v>
      </c>
      <c r="H28" s="15">
        <v>378</v>
      </c>
      <c r="I28" s="8">
        <f t="shared" si="1"/>
        <v>61.991999999999997</v>
      </c>
      <c r="J28" s="16">
        <f t="shared" si="2"/>
        <v>316.00799999999998</v>
      </c>
      <c r="K28" s="16">
        <f t="shared" si="3"/>
        <v>79.001999999999995</v>
      </c>
      <c r="L28" s="8">
        <f t="shared" si="4"/>
        <v>56.699999999999996</v>
      </c>
      <c r="M28" s="8">
        <f t="shared" si="5"/>
        <v>5.2919999999999998</v>
      </c>
      <c r="N28" s="13" t="str">
        <f t="shared" ca="1" si="6"/>
        <v>🔵 À venir</v>
      </c>
      <c r="O28" s="17" t="s">
        <v>39</v>
      </c>
      <c r="P28" s="18" t="s">
        <v>131</v>
      </c>
      <c r="Q28" s="42" t="s">
        <v>132</v>
      </c>
      <c r="R28" s="18"/>
      <c r="S28" s="18"/>
      <c r="T28" s="18"/>
      <c r="U28" s="18"/>
      <c r="V28" t="str">
        <f>IF(Tableau1[[#This Row],[Origem pais]]&lt;&gt;"Portugal", "Declarar SIBA", "")</f>
        <v>Declarar SIBA</v>
      </c>
    </row>
    <row r="29" spans="1:22" x14ac:dyDescent="0.25">
      <c r="A29" s="4">
        <v>27</v>
      </c>
      <c r="B29" s="13"/>
      <c r="C29" s="20"/>
      <c r="D29" s="47"/>
      <c r="E29" s="47"/>
      <c r="F29" s="5" t="str">
        <f t="shared" si="0"/>
        <v/>
      </c>
      <c r="G29" s="5"/>
      <c r="H29" s="7"/>
      <c r="I29" s="8" t="str">
        <f t="shared" si="1"/>
        <v/>
      </c>
      <c r="J29" s="9" t="str">
        <f t="shared" si="2"/>
        <v/>
      </c>
      <c r="K29" s="9" t="str">
        <f t="shared" si="3"/>
        <v/>
      </c>
      <c r="L29" s="8" t="str">
        <f t="shared" si="4"/>
        <v/>
      </c>
      <c r="M29" s="8" t="str">
        <f t="shared" si="5"/>
        <v/>
      </c>
      <c r="N29" s="5" t="str">
        <f t="shared" ca="1" si="6"/>
        <v/>
      </c>
      <c r="O29" s="10"/>
      <c r="P29" s="11"/>
      <c r="Q29" s="11"/>
      <c r="R29" s="11"/>
      <c r="S29" s="11"/>
      <c r="T29" s="18"/>
      <c r="U29" s="18"/>
      <c r="V29" t="str">
        <f>IF(Tableau1[[#This Row],[Origem pais]]&lt;&gt;"Portugal", "Declarar SIBA", "")</f>
        <v>Declarar SIBA</v>
      </c>
    </row>
    <row r="30" spans="1:22" x14ac:dyDescent="0.25">
      <c r="A30" s="4">
        <v>28</v>
      </c>
      <c r="B30" s="5"/>
      <c r="C30" s="19"/>
      <c r="D30" s="48"/>
      <c r="E30" s="48"/>
      <c r="F30" s="13" t="str">
        <f t="shared" si="0"/>
        <v/>
      </c>
      <c r="G30" s="13"/>
      <c r="H30" s="15"/>
      <c r="I30" s="8" t="str">
        <f t="shared" si="1"/>
        <v/>
      </c>
      <c r="J30" s="35" t="str">
        <f t="shared" si="2"/>
        <v/>
      </c>
      <c r="K30" s="16" t="str">
        <f t="shared" si="3"/>
        <v/>
      </c>
      <c r="L30" s="8" t="str">
        <f t="shared" si="4"/>
        <v/>
      </c>
      <c r="M30" s="8" t="str">
        <f t="shared" si="5"/>
        <v/>
      </c>
      <c r="N30" s="13" t="str">
        <f t="shared" ca="1" si="6"/>
        <v/>
      </c>
      <c r="O30" s="17"/>
      <c r="P30" s="18"/>
      <c r="Q30" s="18"/>
      <c r="R30" s="18"/>
      <c r="S30" s="18"/>
      <c r="T30" s="18"/>
      <c r="U30" s="18"/>
      <c r="V30" t="str">
        <f>IF(Tableau1[[#This Row],[Origem pais]]&lt;&gt;"Portugal", "Declarar SIBA", "")</f>
        <v>Declarar SIBA</v>
      </c>
    </row>
    <row r="31" spans="1:22" x14ac:dyDescent="0.25">
      <c r="A31" s="12">
        <v>29</v>
      </c>
      <c r="B31" s="13"/>
      <c r="C31" s="20"/>
      <c r="D31" s="48"/>
      <c r="E31" s="48"/>
      <c r="F31" s="5" t="str">
        <f t="shared" si="0"/>
        <v/>
      </c>
      <c r="G31" s="5"/>
      <c r="H31" s="7"/>
      <c r="I31" s="8" t="str">
        <f t="shared" si="1"/>
        <v/>
      </c>
      <c r="J31" s="9" t="str">
        <f t="shared" si="2"/>
        <v/>
      </c>
      <c r="K31" s="9" t="str">
        <f t="shared" si="3"/>
        <v/>
      </c>
      <c r="L31" s="8" t="str">
        <f t="shared" si="4"/>
        <v/>
      </c>
      <c r="M31" s="8" t="str">
        <f t="shared" si="5"/>
        <v/>
      </c>
      <c r="N31" s="5" t="str">
        <f t="shared" ca="1" si="6"/>
        <v/>
      </c>
      <c r="O31" s="10"/>
      <c r="P31" s="11"/>
      <c r="Q31" s="11"/>
      <c r="R31" s="11"/>
      <c r="S31" s="11"/>
      <c r="T31" s="18"/>
      <c r="U31" s="18"/>
      <c r="V31" t="str">
        <f>IF(Tableau1[[#This Row],[Origem pais]]&lt;&gt;"Portugal", "Declarar SIBA", "")</f>
        <v>Declarar SIBA</v>
      </c>
    </row>
    <row r="32" spans="1:22" x14ac:dyDescent="0.25">
      <c r="A32" s="4">
        <v>30</v>
      </c>
      <c r="B32" s="5"/>
      <c r="C32" s="19"/>
      <c r="D32" s="48"/>
      <c r="E32" s="48"/>
      <c r="F32" s="13" t="str">
        <f t="shared" si="0"/>
        <v/>
      </c>
      <c r="G32" s="13"/>
      <c r="H32" s="15"/>
      <c r="I32" s="8" t="str">
        <f t="shared" si="1"/>
        <v/>
      </c>
      <c r="J32" s="16" t="str">
        <f t="shared" si="2"/>
        <v/>
      </c>
      <c r="K32" s="16" t="str">
        <f t="shared" si="3"/>
        <v/>
      </c>
      <c r="L32" s="8" t="str">
        <f t="shared" si="4"/>
        <v/>
      </c>
      <c r="M32" s="8" t="str">
        <f t="shared" si="5"/>
        <v/>
      </c>
      <c r="N32" s="13" t="str">
        <f t="shared" ca="1" si="6"/>
        <v/>
      </c>
      <c r="O32" s="17"/>
      <c r="P32" s="18"/>
      <c r="Q32" s="18"/>
      <c r="R32" s="18"/>
      <c r="S32" s="18"/>
      <c r="T32" s="18"/>
      <c r="U32" s="18"/>
      <c r="V32" t="str">
        <f>IF(Tableau1[[#This Row],[Origem pais]]&lt;&gt;"Portugal", "Declarar SIBA", "")</f>
        <v>Declarar SIBA</v>
      </c>
    </row>
    <row r="33" spans="1:22" x14ac:dyDescent="0.25">
      <c r="A33" s="4">
        <v>31</v>
      </c>
      <c r="B33" s="13"/>
      <c r="C33" s="20"/>
      <c r="D33" s="48"/>
      <c r="E33" s="48"/>
      <c r="F33" s="5" t="str">
        <f t="shared" si="0"/>
        <v/>
      </c>
      <c r="G33" s="5"/>
      <c r="H33" s="7"/>
      <c r="I33" s="8" t="str">
        <f t="shared" si="1"/>
        <v/>
      </c>
      <c r="J33" s="9" t="str">
        <f t="shared" si="2"/>
        <v/>
      </c>
      <c r="K33" s="9" t="str">
        <f t="shared" si="3"/>
        <v/>
      </c>
      <c r="L33" s="8" t="str">
        <f t="shared" si="4"/>
        <v/>
      </c>
      <c r="M33" s="8" t="str">
        <f t="shared" si="5"/>
        <v/>
      </c>
      <c r="N33" s="5" t="str">
        <f t="shared" ca="1" si="6"/>
        <v/>
      </c>
      <c r="O33" s="10"/>
      <c r="P33" s="11"/>
      <c r="Q33" s="11"/>
      <c r="R33" s="11"/>
      <c r="S33" s="11"/>
      <c r="T33" s="18"/>
      <c r="U33" s="18"/>
      <c r="V33" t="str">
        <f>IF(Tableau1[[#This Row],[Origem pais]]&lt;&gt;"Portugal", "Declarar SIBA", "")</f>
        <v>Declarar SIBA</v>
      </c>
    </row>
    <row r="34" spans="1:22" x14ac:dyDescent="0.25">
      <c r="A34" s="12">
        <v>32</v>
      </c>
      <c r="B34" s="5"/>
      <c r="C34" s="19"/>
      <c r="D34" s="48"/>
      <c r="E34" s="48"/>
      <c r="F34" s="13" t="str">
        <f t="shared" si="0"/>
        <v/>
      </c>
      <c r="G34" s="13"/>
      <c r="H34" s="15"/>
      <c r="I34" s="8" t="str">
        <f t="shared" si="1"/>
        <v/>
      </c>
      <c r="J34" s="16" t="str">
        <f t="shared" si="2"/>
        <v/>
      </c>
      <c r="K34" s="16" t="str">
        <f t="shared" si="3"/>
        <v/>
      </c>
      <c r="L34" s="8" t="str">
        <f t="shared" si="4"/>
        <v/>
      </c>
      <c r="M34" s="8" t="str">
        <f t="shared" si="5"/>
        <v/>
      </c>
      <c r="N34" s="13" t="str">
        <f t="shared" ca="1" si="6"/>
        <v/>
      </c>
      <c r="O34" s="17"/>
      <c r="P34" s="18"/>
      <c r="Q34" s="18"/>
      <c r="R34" s="18"/>
      <c r="S34" s="18"/>
      <c r="T34" s="18"/>
      <c r="U34" s="18"/>
      <c r="V34" t="str">
        <f>IF(Tableau1[[#This Row],[Origem pais]]&lt;&gt;"Portugal", "Declarar SIBA", "")</f>
        <v>Declarar SIBA</v>
      </c>
    </row>
    <row r="35" spans="1:22" x14ac:dyDescent="0.25">
      <c r="A35" s="4">
        <v>33</v>
      </c>
      <c r="B35" s="13"/>
      <c r="C35" s="20"/>
      <c r="D35" s="47"/>
      <c r="E35" s="47"/>
      <c r="F35" s="5" t="str">
        <f t="shared" si="0"/>
        <v/>
      </c>
      <c r="G35" s="5"/>
      <c r="H35" s="7"/>
      <c r="I35" s="8" t="str">
        <f t="shared" si="1"/>
        <v/>
      </c>
      <c r="J35" s="9" t="str">
        <f t="shared" si="2"/>
        <v/>
      </c>
      <c r="K35" s="9" t="str">
        <f t="shared" si="3"/>
        <v/>
      </c>
      <c r="L35" s="8" t="str">
        <f t="shared" si="4"/>
        <v/>
      </c>
      <c r="M35" s="8" t="str">
        <f t="shared" si="5"/>
        <v/>
      </c>
      <c r="N35" s="5" t="str">
        <f t="shared" ca="1" si="6"/>
        <v/>
      </c>
      <c r="O35" s="10"/>
      <c r="P35" s="11"/>
      <c r="Q35" s="11"/>
      <c r="R35" s="11"/>
      <c r="S35" s="11"/>
      <c r="T35" s="18"/>
      <c r="U35" s="18"/>
      <c r="V35" t="str">
        <f>IF(Tableau1[[#This Row],[Origem pais]]&lt;&gt;"Portugal", "Declarar SIBA", "")</f>
        <v>Declarar SIBA</v>
      </c>
    </row>
    <row r="36" spans="1:22" x14ac:dyDescent="0.25">
      <c r="A36" s="12">
        <v>34</v>
      </c>
      <c r="B36" s="5"/>
      <c r="C36" s="19"/>
      <c r="D36" s="48"/>
      <c r="E36" s="48"/>
      <c r="F36" s="13" t="str">
        <f t="shared" ref="F36:F50" si="7">IF(AND(D36&lt;&gt;"",E36&lt;&gt;""),E36-D36,"")</f>
        <v/>
      </c>
      <c r="G36" s="13"/>
      <c r="H36" s="15"/>
      <c r="I36" s="8" t="str">
        <f t="shared" ref="I36:I50" si="8">IF(B36="Direto","",IF(B36="Airbnb",IF(H36&lt;&gt;"",H36*0.03+H36*0.03*0.2,""),IF(B36="Booking.com",IF(H36&lt;&gt;"",H36*0.15+H36*0.014,""),"")))</f>
        <v/>
      </c>
      <c r="J36" s="16" t="str">
        <f t="shared" ref="J36:J50" si="9">IF(B36="Direto",IF(H36&lt;&gt;"",H36,""),IF(H36&lt;&gt;"",H36-IF(I36&lt;&gt;"",I36,0),""))</f>
        <v/>
      </c>
      <c r="K36" s="16" t="str">
        <f t="shared" ref="K36:K50" si="10">IF(J36&lt;&gt;"",J36*0.25,"")</f>
        <v/>
      </c>
      <c r="L36" s="8" t="str">
        <f t="shared" ref="L36:L50" si="11">IF(B36="Airbnb",IF(H36&lt;&gt;"",H36*0.03,""),IF(B36="Booking.com",IF(H36&lt;&gt;"",H36*0.15,""),""))</f>
        <v/>
      </c>
      <c r="M36" s="8" t="str">
        <f t="shared" ref="M36:M50" si="12">IF(B36="Airbnb",IF(L36&lt;&gt;"",L36*0.2,""),IF(B36="Booking.com",IF(H36&lt;&gt;"",H36*0.014,""),""))</f>
        <v/>
      </c>
      <c r="N36" s="13" t="str">
        <f t="shared" ref="N36:N50" ca="1" si="13">IF(D36="","",IF(E36&lt;TODAY(),"✅ Terminée",IF(D36&lt;=TODAY(),"🟡 En cours","🔵 À venir")))</f>
        <v/>
      </c>
      <c r="O36" s="17"/>
      <c r="P36" s="18"/>
      <c r="Q36" s="18"/>
      <c r="R36" s="18"/>
      <c r="S36" s="18"/>
      <c r="T36" s="18"/>
      <c r="U36" s="18"/>
      <c r="V36" t="str">
        <f>IF(Tableau1[[#This Row],[Origem pais]]&lt;&gt;"Portugal", "Declarar SIBA", "")</f>
        <v>Declarar SIBA</v>
      </c>
    </row>
    <row r="37" spans="1:22" x14ac:dyDescent="0.25">
      <c r="A37" s="4">
        <v>35</v>
      </c>
      <c r="B37" s="13"/>
      <c r="C37" s="20"/>
      <c r="D37" s="47"/>
      <c r="E37" s="47"/>
      <c r="F37" s="13" t="str">
        <f t="shared" si="7"/>
        <v/>
      </c>
      <c r="G37" s="5"/>
      <c r="H37" s="15"/>
      <c r="I37" s="8" t="str">
        <f t="shared" si="8"/>
        <v/>
      </c>
      <c r="J37" s="16" t="str">
        <f t="shared" si="9"/>
        <v/>
      </c>
      <c r="K37" s="16" t="str">
        <f t="shared" si="10"/>
        <v/>
      </c>
      <c r="L37" s="8" t="str">
        <f t="shared" si="11"/>
        <v/>
      </c>
      <c r="M37" s="8" t="str">
        <f t="shared" si="12"/>
        <v/>
      </c>
      <c r="N37" s="13" t="str">
        <f t="shared" ca="1" si="13"/>
        <v/>
      </c>
      <c r="O37" s="17"/>
      <c r="P37" s="18"/>
      <c r="Q37" s="18"/>
      <c r="R37" s="18"/>
      <c r="S37" s="18"/>
      <c r="T37" s="18"/>
      <c r="U37" s="18"/>
      <c r="V37" t="str">
        <f>IF(Tableau1[[#This Row],[Origem pais]]&lt;&gt;"Portugal", "Declarar SIBA", "")</f>
        <v>Declarar SIBA</v>
      </c>
    </row>
    <row r="38" spans="1:22" x14ac:dyDescent="0.25">
      <c r="A38" s="4">
        <v>36</v>
      </c>
      <c r="B38" s="5"/>
      <c r="C38" s="19"/>
      <c r="D38" s="47"/>
      <c r="E38" s="47"/>
      <c r="F38" s="13" t="str">
        <f t="shared" si="7"/>
        <v/>
      </c>
      <c r="G38" s="5"/>
      <c r="H38" s="15"/>
      <c r="I38" s="8" t="str">
        <f t="shared" si="8"/>
        <v/>
      </c>
      <c r="J38" s="16" t="str">
        <f t="shared" si="9"/>
        <v/>
      </c>
      <c r="K38" s="16" t="str">
        <f t="shared" si="10"/>
        <v/>
      </c>
      <c r="L38" s="8" t="str">
        <f t="shared" si="11"/>
        <v/>
      </c>
      <c r="M38" s="8" t="str">
        <f t="shared" si="12"/>
        <v/>
      </c>
      <c r="N38" s="13" t="str">
        <f t="shared" ca="1" si="13"/>
        <v/>
      </c>
      <c r="O38" s="17"/>
      <c r="P38" s="18"/>
      <c r="Q38" s="18"/>
      <c r="R38" s="18"/>
      <c r="S38" s="18"/>
      <c r="T38" s="18"/>
      <c r="U38" s="18"/>
      <c r="V38" t="str">
        <f>IF(Tableau1[[#This Row],[Origem pais]]&lt;&gt;"Portugal", "Declarar SIBA", "")</f>
        <v>Declarar SIBA</v>
      </c>
    </row>
    <row r="39" spans="1:22" x14ac:dyDescent="0.25">
      <c r="A39" s="12">
        <v>37</v>
      </c>
      <c r="B39" s="13"/>
      <c r="C39" s="20"/>
      <c r="D39" s="47"/>
      <c r="E39" s="47"/>
      <c r="F39" s="13" t="str">
        <f t="shared" si="7"/>
        <v/>
      </c>
      <c r="G39" s="5"/>
      <c r="H39" s="15"/>
      <c r="I39" s="8" t="str">
        <f t="shared" si="8"/>
        <v/>
      </c>
      <c r="J39" s="16" t="str">
        <f t="shared" si="9"/>
        <v/>
      </c>
      <c r="K39" s="16" t="str">
        <f t="shared" si="10"/>
        <v/>
      </c>
      <c r="L39" s="8" t="str">
        <f t="shared" si="11"/>
        <v/>
      </c>
      <c r="M39" s="8" t="str">
        <f t="shared" si="12"/>
        <v/>
      </c>
      <c r="N39" s="13" t="str">
        <f t="shared" ca="1" si="13"/>
        <v/>
      </c>
      <c r="O39" s="17"/>
      <c r="P39" s="18"/>
      <c r="Q39" s="18"/>
      <c r="R39" s="18"/>
      <c r="S39" s="18"/>
      <c r="T39" s="18"/>
      <c r="U39" s="18"/>
      <c r="V39" t="str">
        <f>IF(Tableau1[[#This Row],[Origem pais]]&lt;&gt;"Portugal", "Declarar SIBA", "")</f>
        <v>Declarar SIBA</v>
      </c>
    </row>
    <row r="40" spans="1:22" x14ac:dyDescent="0.25">
      <c r="A40" s="4">
        <v>38</v>
      </c>
      <c r="B40" s="5"/>
      <c r="C40" s="19"/>
      <c r="D40" s="48"/>
      <c r="E40" s="48"/>
      <c r="F40" s="13" t="str">
        <f t="shared" si="7"/>
        <v/>
      </c>
      <c r="G40" s="13"/>
      <c r="H40" s="15"/>
      <c r="I40" s="8" t="str">
        <f t="shared" si="8"/>
        <v/>
      </c>
      <c r="J40" s="16" t="str">
        <f t="shared" si="9"/>
        <v/>
      </c>
      <c r="K40" s="16" t="str">
        <f t="shared" si="10"/>
        <v/>
      </c>
      <c r="L40" s="8" t="str">
        <f t="shared" si="11"/>
        <v/>
      </c>
      <c r="M40" s="8" t="str">
        <f t="shared" si="12"/>
        <v/>
      </c>
      <c r="N40" s="13" t="str">
        <f t="shared" ca="1" si="13"/>
        <v/>
      </c>
      <c r="O40" s="17"/>
      <c r="P40" s="18"/>
      <c r="Q40" s="18"/>
      <c r="R40" s="18"/>
      <c r="S40" s="18"/>
      <c r="T40" s="18"/>
      <c r="U40" s="18"/>
      <c r="V40" t="str">
        <f>IF(Tableau1[[#This Row],[Origem pais]]&lt;&gt;"Portugal", "Declarar SIBA", "")</f>
        <v>Declarar SIBA</v>
      </c>
    </row>
    <row r="41" spans="1:22" x14ac:dyDescent="0.25">
      <c r="A41" s="4">
        <v>39</v>
      </c>
      <c r="B41" s="13"/>
      <c r="C41" s="20"/>
      <c r="D41" s="48"/>
      <c r="E41" s="48"/>
      <c r="F41" s="13" t="str">
        <f t="shared" si="7"/>
        <v/>
      </c>
      <c r="G41" s="13"/>
      <c r="H41" s="15"/>
      <c r="I41" s="8" t="str">
        <f t="shared" si="8"/>
        <v/>
      </c>
      <c r="J41" s="16" t="str">
        <f t="shared" si="9"/>
        <v/>
      </c>
      <c r="K41" s="16" t="str">
        <f t="shared" si="10"/>
        <v/>
      </c>
      <c r="L41" s="8" t="str">
        <f t="shared" si="11"/>
        <v/>
      </c>
      <c r="M41" s="8" t="str">
        <f t="shared" si="12"/>
        <v/>
      </c>
      <c r="N41" s="13" t="str">
        <f t="shared" ca="1" si="13"/>
        <v/>
      </c>
      <c r="O41" s="17"/>
      <c r="P41" s="18"/>
      <c r="Q41" s="18"/>
      <c r="R41" s="18"/>
      <c r="S41" s="18"/>
      <c r="T41" s="18"/>
      <c r="U41" s="18"/>
      <c r="V41" t="str">
        <f>IF(Tableau1[[#This Row],[Origem pais]]&lt;&gt;"Portugal", "Declarar SIBA", "")</f>
        <v>Declarar SIBA</v>
      </c>
    </row>
    <row r="42" spans="1:22" x14ac:dyDescent="0.25">
      <c r="A42" s="12">
        <v>40</v>
      </c>
      <c r="B42" s="5"/>
      <c r="C42" s="19"/>
      <c r="D42" s="47"/>
      <c r="E42" s="47"/>
      <c r="F42" s="5" t="str">
        <f t="shared" si="7"/>
        <v/>
      </c>
      <c r="G42" s="5"/>
      <c r="H42" s="7"/>
      <c r="I42" s="8" t="str">
        <f t="shared" si="8"/>
        <v/>
      </c>
      <c r="J42" s="9" t="str">
        <f t="shared" si="9"/>
        <v/>
      </c>
      <c r="K42" s="9" t="str">
        <f t="shared" si="10"/>
        <v/>
      </c>
      <c r="L42" s="8" t="str">
        <f t="shared" si="11"/>
        <v/>
      </c>
      <c r="M42" s="8" t="str">
        <f t="shared" si="12"/>
        <v/>
      </c>
      <c r="N42" s="5" t="str">
        <f t="shared" ca="1" si="13"/>
        <v/>
      </c>
      <c r="O42" s="10"/>
      <c r="P42" s="11"/>
      <c r="Q42" s="11"/>
      <c r="R42" s="11"/>
      <c r="S42" s="11"/>
      <c r="T42" s="18"/>
      <c r="U42" s="18"/>
      <c r="V42" t="str">
        <f>IF(Tableau1[[#This Row],[Origem pais]]&lt;&gt;"Portugal", "Declarar SIBA", "")</f>
        <v>Declarar SIBA</v>
      </c>
    </row>
    <row r="43" spans="1:22" x14ac:dyDescent="0.25">
      <c r="A43" s="4">
        <v>41</v>
      </c>
      <c r="B43" s="13"/>
      <c r="C43" s="20"/>
      <c r="D43" s="48"/>
      <c r="E43" s="48"/>
      <c r="F43" s="13" t="str">
        <f t="shared" si="7"/>
        <v/>
      </c>
      <c r="G43" s="13"/>
      <c r="H43" s="15"/>
      <c r="I43" s="8" t="str">
        <f t="shared" si="8"/>
        <v/>
      </c>
      <c r="J43" s="35" t="str">
        <f t="shared" si="9"/>
        <v/>
      </c>
      <c r="K43" s="16" t="str">
        <f t="shared" si="10"/>
        <v/>
      </c>
      <c r="L43" s="8" t="str">
        <f t="shared" si="11"/>
        <v/>
      </c>
      <c r="M43" s="8" t="str">
        <f t="shared" si="12"/>
        <v/>
      </c>
      <c r="N43" s="13" t="str">
        <f t="shared" ca="1" si="13"/>
        <v/>
      </c>
      <c r="O43" s="17"/>
      <c r="P43" s="18"/>
      <c r="Q43" s="18"/>
      <c r="R43" s="18"/>
      <c r="S43" s="18"/>
      <c r="T43" s="18"/>
      <c r="U43" s="18"/>
      <c r="V43" t="str">
        <f>IF(Tableau1[[#This Row],[Origem pais]]&lt;&gt;"Portugal", "Declarar SIBA", "")</f>
        <v>Declarar SIBA</v>
      </c>
    </row>
    <row r="44" spans="1:22" x14ac:dyDescent="0.25">
      <c r="A44" s="12">
        <v>42</v>
      </c>
      <c r="B44" s="5"/>
      <c r="C44" s="19"/>
      <c r="D44" s="48"/>
      <c r="E44" s="48"/>
      <c r="F44" s="5" t="str">
        <f t="shared" si="7"/>
        <v/>
      </c>
      <c r="G44" s="5"/>
      <c r="H44" s="7"/>
      <c r="I44" s="8" t="str">
        <f t="shared" si="8"/>
        <v/>
      </c>
      <c r="J44" s="9" t="str">
        <f t="shared" si="9"/>
        <v/>
      </c>
      <c r="K44" s="9" t="str">
        <f t="shared" si="10"/>
        <v/>
      </c>
      <c r="L44" s="8" t="str">
        <f t="shared" si="11"/>
        <v/>
      </c>
      <c r="M44" s="8" t="str">
        <f t="shared" si="12"/>
        <v/>
      </c>
      <c r="N44" s="5" t="str">
        <f t="shared" ca="1" si="13"/>
        <v/>
      </c>
      <c r="O44" s="10"/>
      <c r="P44" s="11"/>
      <c r="Q44" s="11"/>
      <c r="R44" s="11"/>
      <c r="S44" s="11"/>
      <c r="T44" s="18"/>
      <c r="U44" s="18"/>
      <c r="V44" t="str">
        <f>IF(Tableau1[[#This Row],[Origem pais]]&lt;&gt;"Portugal", "Declarar SIBA", "")</f>
        <v>Declarar SIBA</v>
      </c>
    </row>
    <row r="45" spans="1:22" x14ac:dyDescent="0.25">
      <c r="A45" s="4">
        <v>43</v>
      </c>
      <c r="B45" s="13"/>
      <c r="C45" s="20"/>
      <c r="D45" s="48"/>
      <c r="E45" s="48"/>
      <c r="F45" s="13" t="str">
        <f t="shared" si="7"/>
        <v/>
      </c>
      <c r="G45" s="13"/>
      <c r="H45" s="15"/>
      <c r="I45" s="8" t="str">
        <f t="shared" si="8"/>
        <v/>
      </c>
      <c r="J45" s="16" t="str">
        <f t="shared" si="9"/>
        <v/>
      </c>
      <c r="K45" s="16" t="str">
        <f t="shared" si="10"/>
        <v/>
      </c>
      <c r="L45" s="8" t="str">
        <f t="shared" si="11"/>
        <v/>
      </c>
      <c r="M45" s="8" t="str">
        <f t="shared" si="12"/>
        <v/>
      </c>
      <c r="N45" s="13" t="str">
        <f t="shared" ca="1" si="13"/>
        <v/>
      </c>
      <c r="O45" s="17"/>
      <c r="P45" s="18"/>
      <c r="Q45" s="18"/>
      <c r="R45" s="18"/>
      <c r="S45" s="18"/>
      <c r="T45" s="18"/>
      <c r="U45" s="18"/>
      <c r="V45" t="str">
        <f>IF(Tableau1[[#This Row],[Origem pais]]&lt;&gt;"Portugal", "Declarar SIBA", "")</f>
        <v>Declarar SIBA</v>
      </c>
    </row>
    <row r="46" spans="1:22" x14ac:dyDescent="0.25">
      <c r="A46" s="4">
        <v>44</v>
      </c>
      <c r="B46" s="5"/>
      <c r="C46" s="19"/>
      <c r="D46" s="48"/>
      <c r="E46" s="48"/>
      <c r="F46" s="5" t="str">
        <f t="shared" si="7"/>
        <v/>
      </c>
      <c r="G46" s="5"/>
      <c r="H46" s="7"/>
      <c r="I46" s="8" t="str">
        <f t="shared" si="8"/>
        <v/>
      </c>
      <c r="J46" s="9" t="str">
        <f t="shared" si="9"/>
        <v/>
      </c>
      <c r="K46" s="9" t="str">
        <f t="shared" si="10"/>
        <v/>
      </c>
      <c r="L46" s="8" t="str">
        <f t="shared" si="11"/>
        <v/>
      </c>
      <c r="M46" s="8" t="str">
        <f t="shared" si="12"/>
        <v/>
      </c>
      <c r="N46" s="5" t="str">
        <f t="shared" ca="1" si="13"/>
        <v/>
      </c>
      <c r="O46" s="10"/>
      <c r="P46" s="11"/>
      <c r="Q46" s="11"/>
      <c r="R46" s="11"/>
      <c r="S46" s="11"/>
      <c r="T46" s="18"/>
      <c r="U46" s="18"/>
      <c r="V46" t="str">
        <f>IF(Tableau1[[#This Row],[Origem pais]]&lt;&gt;"Portugal", "Declarar SIBA", "")</f>
        <v>Declarar SIBA</v>
      </c>
    </row>
    <row r="47" spans="1:22" x14ac:dyDescent="0.25">
      <c r="A47" s="12">
        <v>45</v>
      </c>
      <c r="B47" s="13"/>
      <c r="C47" s="20"/>
      <c r="D47" s="48"/>
      <c r="E47" s="48"/>
      <c r="F47" s="13" t="str">
        <f t="shared" si="7"/>
        <v/>
      </c>
      <c r="G47" s="13"/>
      <c r="H47" s="15"/>
      <c r="I47" s="8" t="str">
        <f t="shared" si="8"/>
        <v/>
      </c>
      <c r="J47" s="16" t="str">
        <f t="shared" si="9"/>
        <v/>
      </c>
      <c r="K47" s="16" t="str">
        <f t="shared" si="10"/>
        <v/>
      </c>
      <c r="L47" s="8" t="str">
        <f t="shared" si="11"/>
        <v/>
      </c>
      <c r="M47" s="8" t="str">
        <f t="shared" si="12"/>
        <v/>
      </c>
      <c r="N47" s="13" t="str">
        <f t="shared" ca="1" si="13"/>
        <v/>
      </c>
      <c r="O47" s="17"/>
      <c r="P47" s="18"/>
      <c r="Q47" s="18"/>
      <c r="R47" s="18"/>
      <c r="S47" s="18"/>
      <c r="T47" s="18"/>
      <c r="U47" s="18"/>
      <c r="V47" t="str">
        <f>IF(Tableau1[[#This Row],[Origem pais]]&lt;&gt;"Portugal", "Declarar SIBA", "")</f>
        <v>Declarar SIBA</v>
      </c>
    </row>
    <row r="48" spans="1:22" x14ac:dyDescent="0.25">
      <c r="A48" s="4">
        <v>46</v>
      </c>
      <c r="B48" s="5"/>
      <c r="C48" s="19"/>
      <c r="D48" s="47"/>
      <c r="E48" s="47"/>
      <c r="F48" s="5" t="str">
        <f t="shared" si="7"/>
        <v/>
      </c>
      <c r="G48" s="5"/>
      <c r="H48" s="7"/>
      <c r="I48" s="8" t="str">
        <f t="shared" si="8"/>
        <v/>
      </c>
      <c r="J48" s="9" t="str">
        <f t="shared" si="9"/>
        <v/>
      </c>
      <c r="K48" s="9" t="str">
        <f t="shared" si="10"/>
        <v/>
      </c>
      <c r="L48" s="8" t="str">
        <f t="shared" si="11"/>
        <v/>
      </c>
      <c r="M48" s="8" t="str">
        <f t="shared" si="12"/>
        <v/>
      </c>
      <c r="N48" s="5" t="str">
        <f t="shared" ca="1" si="13"/>
        <v/>
      </c>
      <c r="O48" s="10"/>
      <c r="P48" s="11"/>
      <c r="Q48" s="11"/>
      <c r="R48" s="11"/>
      <c r="S48" s="11"/>
      <c r="T48" s="18"/>
      <c r="U48" s="18"/>
      <c r="V48" t="str">
        <f>IF(Tableau1[[#This Row],[Origem pais]]&lt;&gt;"Portugal", "Declarar SIBA", "")</f>
        <v>Declarar SIBA</v>
      </c>
    </row>
    <row r="49" spans="1:22" x14ac:dyDescent="0.25">
      <c r="A49" s="4">
        <v>47</v>
      </c>
      <c r="B49" s="13"/>
      <c r="C49" s="20"/>
      <c r="D49" s="48"/>
      <c r="E49" s="48"/>
      <c r="F49" s="13" t="str">
        <f t="shared" si="7"/>
        <v/>
      </c>
      <c r="G49" s="13"/>
      <c r="H49" s="15"/>
      <c r="I49" s="8" t="str">
        <f t="shared" si="8"/>
        <v/>
      </c>
      <c r="J49" s="16" t="str">
        <f t="shared" si="9"/>
        <v/>
      </c>
      <c r="K49" s="16" t="str">
        <f t="shared" si="10"/>
        <v/>
      </c>
      <c r="L49" s="8" t="str">
        <f t="shared" si="11"/>
        <v/>
      </c>
      <c r="M49" s="8" t="str">
        <f t="shared" si="12"/>
        <v/>
      </c>
      <c r="N49" s="13" t="str">
        <f t="shared" ca="1" si="13"/>
        <v/>
      </c>
      <c r="O49" s="17"/>
      <c r="P49" s="18"/>
      <c r="Q49" s="18"/>
      <c r="R49" s="18"/>
      <c r="S49" s="18"/>
      <c r="T49" s="18"/>
      <c r="U49" s="18"/>
      <c r="V49" t="str">
        <f>IF(Tableau1[[#This Row],[Origem pais]]&lt;&gt;"Portugal", "Declarar SIBA", "")</f>
        <v>Declarar SIBA</v>
      </c>
    </row>
    <row r="50" spans="1:22" x14ac:dyDescent="0.25">
      <c r="A50" s="12">
        <v>48</v>
      </c>
      <c r="B50" s="5"/>
      <c r="C50" s="19"/>
      <c r="D50" s="47"/>
      <c r="E50" s="47"/>
      <c r="F50" s="13" t="str">
        <f t="shared" si="7"/>
        <v/>
      </c>
      <c r="G50" s="5"/>
      <c r="H50" s="15"/>
      <c r="I50" s="8" t="str">
        <f t="shared" si="8"/>
        <v/>
      </c>
      <c r="J50" s="16" t="str">
        <f t="shared" si="9"/>
        <v/>
      </c>
      <c r="K50" s="16" t="str">
        <f t="shared" si="10"/>
        <v/>
      </c>
      <c r="L50" s="8" t="str">
        <f t="shared" si="11"/>
        <v/>
      </c>
      <c r="M50" s="8" t="str">
        <f t="shared" si="12"/>
        <v/>
      </c>
      <c r="N50" s="13" t="str">
        <f t="shared" ca="1" si="13"/>
        <v/>
      </c>
      <c r="O50" s="17"/>
      <c r="P50" s="18"/>
      <c r="Q50" s="18"/>
      <c r="R50" s="18"/>
      <c r="S50" s="18"/>
      <c r="T50" s="18"/>
      <c r="U50" s="18"/>
      <c r="V50" t="str">
        <f>IF(Tableau1[[#This Row],[Origem pais]]&lt;&gt;"Portugal", "Declarar SIBA", "")</f>
        <v>Declarar SIBA</v>
      </c>
    </row>
    <row r="51" spans="1:22" ht="15" customHeight="1" x14ac:dyDescent="0.25">
      <c r="A51" s="4">
        <v>49</v>
      </c>
      <c r="B51" s="36"/>
      <c r="C51" s="36"/>
      <c r="D51" s="49"/>
      <c r="E51" s="49"/>
      <c r="F51" s="36"/>
      <c r="G51" s="36"/>
      <c r="H51" s="21">
        <f t="shared" ref="H51:M51" si="14">SUMIF(H3:H50,"&gt;0")</f>
        <v>12057.89</v>
      </c>
      <c r="I51" s="22">
        <f t="shared" si="14"/>
        <v>1537.5019599949999</v>
      </c>
      <c r="J51" s="21">
        <f t="shared" si="14"/>
        <v>10666.718040004998</v>
      </c>
      <c r="K51" s="21">
        <f t="shared" si="14"/>
        <v>2666.6795100012496</v>
      </c>
      <c r="L51" s="22">
        <f t="shared" si="14"/>
        <v>1177.1085</v>
      </c>
      <c r="M51" s="22">
        <f t="shared" si="14"/>
        <v>118.64746000000005</v>
      </c>
      <c r="N51" s="23" t="str">
        <f ca="1">COUNTIF(N3:N10,"✅ Terminée")&amp;" terminée(s)"</f>
        <v>8 terminée(s)</v>
      </c>
      <c r="O51" s="24"/>
      <c r="P51" s="24"/>
      <c r="Q51" s="23"/>
      <c r="R51" s="23"/>
      <c r="S51" s="23"/>
      <c r="T51" s="52"/>
      <c r="U51" s="52"/>
      <c r="V51" t="str">
        <f>IF(Tableau1[[#This Row],[Origem pais]]&lt;&gt;"Portugal", "Declarar SIBA", "")</f>
        <v>Declarar SIBA</v>
      </c>
    </row>
    <row r="52" spans="1:22" ht="25.5" customHeight="1" x14ac:dyDescent="0.25">
      <c r="J52" s="25"/>
    </row>
    <row r="53" spans="1:22" ht="15" customHeight="1" x14ac:dyDescent="0.25">
      <c r="A53" s="61" t="s">
        <v>25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45"/>
    </row>
    <row r="54" spans="1:22" ht="15" customHeight="1" x14ac:dyDescent="0.25">
      <c r="J54" s="37"/>
    </row>
  </sheetData>
  <mergeCells count="2">
    <mergeCell ref="A1:P1"/>
    <mergeCell ref="A53:P53"/>
  </mergeCells>
  <phoneticPr fontId="16" type="noConversion"/>
  <conditionalFormatting sqref="B1:B1048576">
    <cfRule type="containsText" dxfId="28" priority="5" operator="containsText" text="booking">
      <formula>NOT(ISERROR(SEARCH("booking",B1)))</formula>
    </cfRule>
    <cfRule type="containsText" dxfId="27" priority="6" operator="containsText" text="airbnb">
      <formula>NOT(ISERROR(SEARCH("airbnb",B1)))</formula>
    </cfRule>
  </conditionalFormatting>
  <conditionalFormatting sqref="S1:U1 S3:U1048576">
    <cfRule type="beginsWith" dxfId="25" priority="1" operator="beginsWith" text="Done">
      <formula>LEFT(S1,LEN("Done"))="Done"</formula>
    </cfRule>
    <cfRule type="expression" dxfId="24" priority="2">
      <formula>AND($D1&lt;&gt;"", $D1&gt;TODAY())</formula>
    </cfRule>
  </conditionalFormatting>
  <dataValidations count="2">
    <dataValidation type="list" allowBlank="1" sqref="B3:B50" xr:uid="{00000000-0002-0000-0000-000000000000}">
      <formula1>"Airbnb,Booking.com,Direto"</formula1>
      <formula2>0</formula2>
    </dataValidation>
    <dataValidation type="list" allowBlank="1" sqref="O3:O50" xr:uid="{00000000-0002-0000-0000-000001000000}">
      <formula1>"A definir,Manhã,Tarde,Noite,08h00,09h00,10h00,11h00,12h00,13h00,14h00,15h00,16h00,17h00,18h00,19h00,20h00,21h00,22h00"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F531569-1D25-48B2-83FD-EC26D35B94A9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5FC-9557-489E-A133-9EC898A4C3FF}">
  <sheetPr codeName="Feuil2"/>
  <dimension ref="B2:H28"/>
  <sheetViews>
    <sheetView workbookViewId="0">
      <selection activeCell="K19" sqref="K19"/>
    </sheetView>
  </sheetViews>
  <sheetFormatPr baseColWidth="10" defaultRowHeight="15" x14ac:dyDescent="0.25"/>
  <cols>
    <col min="2" max="2" width="40.5703125" bestFit="1" customWidth="1"/>
    <col min="3" max="3" width="11.5703125" customWidth="1"/>
  </cols>
  <sheetData>
    <row r="2" spans="2:8" x14ac:dyDescent="0.25">
      <c r="B2" t="s">
        <v>91</v>
      </c>
    </row>
    <row r="3" spans="2:8" x14ac:dyDescent="0.25">
      <c r="B3">
        <f>'📋 Réservations'!J51-'📋 Réservations'!K51</f>
        <v>8000.0385300037487</v>
      </c>
    </row>
    <row r="5" spans="2:8" x14ac:dyDescent="0.25">
      <c r="B5" t="s">
        <v>92</v>
      </c>
      <c r="C5" t="s">
        <v>76</v>
      </c>
      <c r="E5" t="s">
        <v>96</v>
      </c>
      <c r="F5" t="s">
        <v>94</v>
      </c>
      <c r="G5" t="s">
        <v>111</v>
      </c>
      <c r="H5" t="s">
        <v>95</v>
      </c>
    </row>
    <row r="6" spans="2:8" x14ac:dyDescent="0.25">
      <c r="B6" t="s">
        <v>116</v>
      </c>
      <c r="C6">
        <v>92.4</v>
      </c>
      <c r="E6" t="s">
        <v>99</v>
      </c>
      <c r="F6">
        <v>21.71</v>
      </c>
      <c r="G6">
        <v>0</v>
      </c>
      <c r="H6">
        <v>9.35</v>
      </c>
    </row>
    <row r="7" spans="2:8" x14ac:dyDescent="0.25">
      <c r="B7" t="s">
        <v>93</v>
      </c>
      <c r="C7">
        <v>38.200000000000003</v>
      </c>
      <c r="E7" t="s">
        <v>100</v>
      </c>
      <c r="F7">
        <v>21.68</v>
      </c>
      <c r="G7">
        <v>0</v>
      </c>
      <c r="H7">
        <v>9.35</v>
      </c>
    </row>
    <row r="8" spans="2:8" x14ac:dyDescent="0.25">
      <c r="B8" t="s">
        <v>98</v>
      </c>
      <c r="C8">
        <v>81.48</v>
      </c>
      <c r="E8" t="s">
        <v>101</v>
      </c>
      <c r="F8">
        <v>88.16</v>
      </c>
      <c r="G8">
        <v>0</v>
      </c>
      <c r="H8">
        <v>3.88</v>
      </c>
    </row>
    <row r="9" spans="2:8" x14ac:dyDescent="0.25">
      <c r="B9" t="s">
        <v>97</v>
      </c>
      <c r="C9">
        <v>63.85</v>
      </c>
      <c r="E9" t="s">
        <v>102</v>
      </c>
      <c r="F9">
        <v>64.180000000000007</v>
      </c>
      <c r="G9">
        <v>0</v>
      </c>
      <c r="H9">
        <v>7.98</v>
      </c>
    </row>
    <row r="10" spans="2:8" x14ac:dyDescent="0.25">
      <c r="B10" t="s">
        <v>97</v>
      </c>
      <c r="C10">
        <v>48.28</v>
      </c>
      <c r="E10" t="s">
        <v>103</v>
      </c>
      <c r="F10">
        <v>47.25</v>
      </c>
      <c r="G10">
        <v>0</v>
      </c>
      <c r="H10">
        <v>16.579999999999998</v>
      </c>
    </row>
    <row r="11" spans="2:8" x14ac:dyDescent="0.25">
      <c r="B11" t="s">
        <v>112</v>
      </c>
      <c r="C11">
        <f>SUM(C6:C10)</f>
        <v>324.21000000000004</v>
      </c>
      <c r="E11" t="s">
        <v>104</v>
      </c>
      <c r="F11">
        <v>57.74</v>
      </c>
      <c r="G11">
        <v>0</v>
      </c>
      <c r="H11">
        <v>16.579999999999998</v>
      </c>
    </row>
    <row r="12" spans="2:8" x14ac:dyDescent="0.25">
      <c r="E12" t="s">
        <v>105</v>
      </c>
      <c r="F12">
        <v>57.22</v>
      </c>
      <c r="G12">
        <v>0</v>
      </c>
      <c r="H12">
        <v>16.579999999999998</v>
      </c>
    </row>
    <row r="13" spans="2:8" x14ac:dyDescent="0.25">
      <c r="E13" t="s">
        <v>106</v>
      </c>
      <c r="F13">
        <v>69.2</v>
      </c>
      <c r="G13">
        <v>34.49</v>
      </c>
      <c r="H13">
        <v>16.579999999999998</v>
      </c>
    </row>
    <row r="14" spans="2:8" x14ac:dyDescent="0.25">
      <c r="E14" t="s">
        <v>107</v>
      </c>
      <c r="F14">
        <v>108.91</v>
      </c>
      <c r="G14">
        <v>34.49</v>
      </c>
      <c r="H14">
        <v>16.579999999999998</v>
      </c>
    </row>
    <row r="15" spans="2:8" x14ac:dyDescent="0.25">
      <c r="E15" t="s">
        <v>108</v>
      </c>
      <c r="G15">
        <v>34.49</v>
      </c>
    </row>
    <row r="16" spans="2:8" x14ac:dyDescent="0.25">
      <c r="E16" t="s">
        <v>109</v>
      </c>
      <c r="G16">
        <v>34.49</v>
      </c>
    </row>
    <row r="17" spans="2:8" x14ac:dyDescent="0.25">
      <c r="E17" t="s">
        <v>110</v>
      </c>
      <c r="G17">
        <v>34.49</v>
      </c>
    </row>
    <row r="18" spans="2:8" x14ac:dyDescent="0.25">
      <c r="E18" t="s">
        <v>112</v>
      </c>
      <c r="F18">
        <f>SUM(F6:F17)</f>
        <v>536.05000000000007</v>
      </c>
      <c r="G18">
        <f>SUM(G6:G17)</f>
        <v>172.45000000000002</v>
      </c>
      <c r="H18">
        <f>SUM(H6:H17)</f>
        <v>113.46</v>
      </c>
    </row>
    <row r="19" spans="2:8" x14ac:dyDescent="0.25">
      <c r="E19" t="s">
        <v>113</v>
      </c>
      <c r="F19">
        <f>SUM(F18:H18)</f>
        <v>821.96000000000015</v>
      </c>
    </row>
    <row r="25" spans="2:8" x14ac:dyDescent="0.25">
      <c r="B25" t="s">
        <v>114</v>
      </c>
    </row>
    <row r="26" spans="2:8" x14ac:dyDescent="0.25">
      <c r="B26">
        <f>B3-C11-F19</f>
        <v>6853.8685300037487</v>
      </c>
    </row>
    <row r="27" spans="2:8" x14ac:dyDescent="0.25">
      <c r="B27" t="s">
        <v>115</v>
      </c>
    </row>
    <row r="28" spans="2:8" ht="18.75" x14ac:dyDescent="0.3">
      <c r="B28" s="56">
        <f>B26-((B26*0.35)*0.25)</f>
        <v>6254.1550336284208</v>
      </c>
    </row>
  </sheetData>
  <phoneticPr fontId="16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D4A853"/>
  </sheetPr>
  <dimension ref="A1:D32"/>
  <sheetViews>
    <sheetView showGridLines="0" zoomScaleNormal="100" workbookViewId="0">
      <selection activeCell="B24" sqref="B24"/>
    </sheetView>
  </sheetViews>
  <sheetFormatPr baseColWidth="10" defaultColWidth="8.7109375" defaultRowHeight="15" x14ac:dyDescent="0.25"/>
  <cols>
    <col min="1" max="1" width="14" customWidth="1"/>
    <col min="2" max="2" width="18" customWidth="1"/>
    <col min="3" max="3" width="60" customWidth="1"/>
    <col min="4" max="4" width="12" customWidth="1"/>
  </cols>
  <sheetData>
    <row r="1" spans="1:4" ht="36" customHeight="1" x14ac:dyDescent="0.25">
      <c r="A1" s="62" t="s">
        <v>26</v>
      </c>
      <c r="B1" s="62"/>
      <c r="C1" s="62"/>
      <c r="D1" s="62"/>
    </row>
    <row r="2" spans="1:4" ht="30" customHeight="1" x14ac:dyDescent="0.25">
      <c r="A2" s="26" t="s">
        <v>27</v>
      </c>
      <c r="B2" s="26" t="s">
        <v>28</v>
      </c>
      <c r="C2" s="26" t="s">
        <v>29</v>
      </c>
      <c r="D2" s="26" t="s">
        <v>30</v>
      </c>
    </row>
    <row r="3" spans="1:4" ht="21.75" customHeight="1" x14ac:dyDescent="0.25">
      <c r="A3" s="27" t="s">
        <v>31</v>
      </c>
      <c r="B3" s="28" t="s">
        <v>32</v>
      </c>
      <c r="C3" s="28" t="s">
        <v>33</v>
      </c>
      <c r="D3" s="28" t="s">
        <v>34</v>
      </c>
    </row>
    <row r="4" spans="1:4" ht="21.75" customHeight="1" x14ac:dyDescent="0.25">
      <c r="A4" s="29"/>
      <c r="B4" s="30" t="s">
        <v>35</v>
      </c>
      <c r="C4" s="30" t="s">
        <v>36</v>
      </c>
      <c r="D4" s="30" t="s">
        <v>37</v>
      </c>
    </row>
    <row r="5" spans="1:4" ht="21.75" customHeight="1" x14ac:dyDescent="0.25">
      <c r="A5" s="31"/>
      <c r="B5" s="32"/>
      <c r="C5" s="32"/>
      <c r="D5" s="32"/>
    </row>
    <row r="6" spans="1:4" ht="21.75" customHeight="1" x14ac:dyDescent="0.25">
      <c r="A6" s="33"/>
      <c r="B6" s="34"/>
      <c r="C6" s="34"/>
      <c r="D6" s="34"/>
    </row>
    <row r="7" spans="1:4" ht="21.75" customHeight="1" x14ac:dyDescent="0.25">
      <c r="A7" s="31"/>
      <c r="B7" s="32"/>
      <c r="C7" s="32"/>
      <c r="D7" s="32"/>
    </row>
    <row r="8" spans="1:4" ht="21.75" customHeight="1" x14ac:dyDescent="0.25">
      <c r="A8" s="33"/>
      <c r="B8" s="34"/>
      <c r="C8" s="34"/>
      <c r="D8" s="34"/>
    </row>
    <row r="9" spans="1:4" ht="21.75" customHeight="1" x14ac:dyDescent="0.25">
      <c r="A9" s="31"/>
      <c r="B9" s="32"/>
      <c r="C9" s="32"/>
      <c r="D9" s="32"/>
    </row>
    <row r="10" spans="1:4" ht="21.75" customHeight="1" x14ac:dyDescent="0.25">
      <c r="A10" s="33"/>
      <c r="B10" s="34"/>
      <c r="C10" s="34"/>
      <c r="D10" s="34"/>
    </row>
    <row r="11" spans="1:4" ht="21.75" customHeight="1" x14ac:dyDescent="0.25">
      <c r="A11" s="31"/>
      <c r="B11" s="32"/>
      <c r="C11" s="32"/>
      <c r="D11" s="32"/>
    </row>
    <row r="12" spans="1:4" ht="21.75" customHeight="1" x14ac:dyDescent="0.25">
      <c r="A12" s="33"/>
      <c r="B12" s="34"/>
      <c r="C12" s="34"/>
      <c r="D12" s="34"/>
    </row>
    <row r="13" spans="1:4" ht="21.75" customHeight="1" x14ac:dyDescent="0.25">
      <c r="A13" s="31"/>
      <c r="B13" s="32"/>
      <c r="C13" s="32"/>
      <c r="D13" s="32"/>
    </row>
    <row r="14" spans="1:4" ht="21.75" customHeight="1" x14ac:dyDescent="0.25">
      <c r="A14" s="33"/>
      <c r="B14" s="34"/>
      <c r="C14" s="34"/>
      <c r="D14" s="34"/>
    </row>
    <row r="15" spans="1:4" ht="21.75" customHeight="1" x14ac:dyDescent="0.25">
      <c r="A15" s="31"/>
      <c r="B15" s="32"/>
      <c r="C15" s="32"/>
      <c r="D15" s="32"/>
    </row>
    <row r="16" spans="1:4" ht="21.75" customHeight="1" x14ac:dyDescent="0.25">
      <c r="A16" s="33"/>
      <c r="B16" s="34"/>
      <c r="C16" s="34"/>
      <c r="D16" s="34"/>
    </row>
    <row r="17" spans="1:4" ht="21.75" customHeight="1" x14ac:dyDescent="0.25">
      <c r="A17" s="31"/>
      <c r="B17" s="32"/>
      <c r="C17" s="32"/>
      <c r="D17" s="32"/>
    </row>
    <row r="18" spans="1:4" ht="21.75" customHeight="1" x14ac:dyDescent="0.25">
      <c r="A18" s="33"/>
      <c r="B18" s="34"/>
      <c r="C18" s="34"/>
      <c r="D18" s="34"/>
    </row>
    <row r="19" spans="1:4" ht="21.75" customHeight="1" x14ac:dyDescent="0.25">
      <c r="A19" s="31"/>
      <c r="B19" s="32"/>
      <c r="C19" s="32"/>
      <c r="D19" s="32"/>
    </row>
    <row r="20" spans="1:4" ht="21.75" customHeight="1" x14ac:dyDescent="0.25">
      <c r="A20" s="33"/>
      <c r="B20" s="34"/>
      <c r="C20" s="34"/>
      <c r="D20" s="34"/>
    </row>
    <row r="21" spans="1:4" ht="21.75" customHeight="1" x14ac:dyDescent="0.25">
      <c r="A21" s="31"/>
      <c r="B21" s="32"/>
      <c r="C21" s="32"/>
      <c r="D21" s="32"/>
    </row>
    <row r="22" spans="1:4" ht="21.75" customHeight="1" x14ac:dyDescent="0.25">
      <c r="A22" s="33"/>
      <c r="B22" s="34"/>
      <c r="C22" s="34"/>
      <c r="D22" s="34"/>
    </row>
    <row r="23" spans="1:4" ht="21.75" customHeight="1" x14ac:dyDescent="0.25">
      <c r="A23" s="31"/>
      <c r="B23" s="32"/>
      <c r="C23" s="32"/>
      <c r="D23" s="32"/>
    </row>
    <row r="24" spans="1:4" ht="21.75" customHeight="1" x14ac:dyDescent="0.25">
      <c r="A24" s="33"/>
      <c r="B24" s="34"/>
      <c r="C24" s="34"/>
      <c r="D24" s="34"/>
    </row>
    <row r="25" spans="1:4" ht="21.75" customHeight="1" x14ac:dyDescent="0.25">
      <c r="A25" s="31"/>
      <c r="B25" s="32"/>
      <c r="C25" s="32"/>
      <c r="D25" s="32"/>
    </row>
    <row r="26" spans="1:4" ht="21.75" customHeight="1" x14ac:dyDescent="0.25">
      <c r="A26" s="33"/>
      <c r="B26" s="34"/>
      <c r="C26" s="34"/>
      <c r="D26" s="34"/>
    </row>
    <row r="27" spans="1:4" ht="21.75" customHeight="1" x14ac:dyDescent="0.25">
      <c r="A27" s="31"/>
      <c r="B27" s="32"/>
      <c r="C27" s="32"/>
      <c r="D27" s="32"/>
    </row>
    <row r="28" spans="1:4" ht="21.75" customHeight="1" x14ac:dyDescent="0.25">
      <c r="A28" s="33"/>
      <c r="B28" s="34"/>
      <c r="C28" s="34"/>
      <c r="D28" s="34"/>
    </row>
    <row r="29" spans="1:4" ht="21.75" customHeight="1" x14ac:dyDescent="0.25">
      <c r="A29" s="31"/>
      <c r="B29" s="32"/>
      <c r="C29" s="32"/>
      <c r="D29" s="32"/>
    </row>
    <row r="30" spans="1:4" ht="21.75" customHeight="1" x14ac:dyDescent="0.25">
      <c r="A30" s="33"/>
      <c r="B30" s="34"/>
      <c r="C30" s="34"/>
      <c r="D30" s="34"/>
    </row>
    <row r="31" spans="1:4" ht="21.75" customHeight="1" x14ac:dyDescent="0.25">
      <c r="A31" s="31"/>
      <c r="B31" s="32"/>
      <c r="C31" s="32"/>
      <c r="D31" s="32"/>
    </row>
    <row r="32" spans="1:4" ht="21.75" customHeight="1" x14ac:dyDescent="0.25">
      <c r="A32" s="33"/>
      <c r="B32" s="34"/>
      <c r="C32" s="34"/>
      <c r="D32" s="34"/>
    </row>
  </sheetData>
  <mergeCells count="1">
    <mergeCell ref="A1:D1"/>
  </mergeCells>
  <dataValidations count="2">
    <dataValidation type="list" allowBlank="1" sqref="B3:B32" xr:uid="{00000000-0002-0000-0100-000000000000}">
      <formula1>"Ménage,Check-in,Maintenance,Ana - message,Dépense,Autre"</formula1>
      <formula2>0</formula2>
    </dataValidation>
    <dataValidation type="list" allowBlank="1" sqref="D3:D32" xr:uid="{00000000-0002-0000-0100-000001000000}">
      <formula1>"✅ Fait,⏳ À faire"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4CDB-3BB9-451C-AE7D-859D1A0AC4F1}">
  <sheetPr codeName="Feuil4"/>
  <dimension ref="A1:V6"/>
  <sheetViews>
    <sheetView workbookViewId="0">
      <selection sqref="A1:P1"/>
    </sheetView>
  </sheetViews>
  <sheetFormatPr baseColWidth="10" defaultRowHeight="15" x14ac:dyDescent="0.25"/>
  <cols>
    <col min="1" max="1" width="2" bestFit="1" customWidth="1"/>
    <col min="2" max="2" width="11.85546875" bestFit="1" customWidth="1"/>
    <col min="3" max="3" width="15" bestFit="1" customWidth="1"/>
    <col min="4" max="5" width="10.140625" bestFit="1" customWidth="1"/>
    <col min="6" max="7" width="2" bestFit="1" customWidth="1"/>
    <col min="8" max="8" width="16.85546875" bestFit="1" customWidth="1"/>
    <col min="9" max="9" width="8.7109375" bestFit="1" customWidth="1"/>
    <col min="10" max="11" width="8.140625" bestFit="1" customWidth="1"/>
    <col min="12" max="12" width="8.7109375" bestFit="1" customWidth="1"/>
    <col min="13" max="13" width="6.7109375" bestFit="1" customWidth="1"/>
    <col min="14" max="14" width="11.7109375" bestFit="1" customWidth="1"/>
    <col min="15" max="15" width="7.7109375" bestFit="1" customWidth="1"/>
    <col min="16" max="16" width="14" bestFit="1" customWidth="1"/>
    <col min="17" max="17" width="8.28515625" bestFit="1" customWidth="1"/>
    <col min="20" max="21" width="5.2851562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1.75" customHeight="1" x14ac:dyDescent="0.25">
      <c r="A2" s="4">
        <v>3</v>
      </c>
      <c r="B2" s="5" t="s">
        <v>20</v>
      </c>
      <c r="C2" s="19" t="s">
        <v>21</v>
      </c>
      <c r="D2" s="48">
        <v>46095</v>
      </c>
      <c r="E2" s="48">
        <v>46099</v>
      </c>
      <c r="F2" s="5">
        <f t="shared" ref="F2:F3" si="0">IF(AND(D2&lt;&gt;"",E2&lt;&gt;""),E2-D2,"")</f>
        <v>4</v>
      </c>
      <c r="G2" s="5">
        <v>4</v>
      </c>
      <c r="H2" s="7">
        <v>540</v>
      </c>
      <c r="I2" s="8">
        <f t="shared" ref="I2:I3" si="1">IF(B2="Direto","",IF(B2="Airbnb",IF(H2&lt;&gt;"",H2*0.03+H2*0.03*0.2,""),IF(B2="Booking.com",IF(H2&lt;&gt;"",H2*0.15+H2*0.014,""),"")))</f>
        <v>88.56</v>
      </c>
      <c r="J2" s="9">
        <f t="shared" ref="J2:J3" si="2">IF(B2="Direto",IF(H2&lt;&gt;"",H2,""),IF(H2&lt;&gt;"",H2-IF(I2&lt;&gt;"",I2,0),""))</f>
        <v>451.44</v>
      </c>
      <c r="K2" s="9">
        <f t="shared" ref="K2:K3" si="3">IF(J2&lt;&gt;"",J2*0.25,"")</f>
        <v>112.86</v>
      </c>
      <c r="L2" s="8">
        <f t="shared" ref="L2:L3" si="4">IF(B2="Airbnb",IF(H2&lt;&gt;"",H2*0.03,""),IF(B2="Booking.com",IF(H2&lt;&gt;"",H2*0.15,""),""))</f>
        <v>81</v>
      </c>
      <c r="M2" s="8">
        <f t="shared" ref="M2:M3" si="5">IF(B2="Airbnb",IF(L2&lt;&gt;"",L2*0.2,""),IF(B2="Booking.com",IF(H2&lt;&gt;"",H2*0.014,""),""))</f>
        <v>7.5600000000000005</v>
      </c>
      <c r="N2" s="5" t="str">
        <f t="shared" ref="N2:N3" ca="1" si="6">IF(D2="","",IF(E2&lt;TODAY(),"✅ Terminée",IF(D2&lt;=TODAY(),"🟡 En cours","🔵 À venir")))</f>
        <v>✅ Terminée</v>
      </c>
      <c r="O2" s="10" t="s">
        <v>40</v>
      </c>
      <c r="P2" s="11" t="s">
        <v>44</v>
      </c>
      <c r="Q2" s="51" t="s">
        <v>86</v>
      </c>
      <c r="R2" s="54" t="s">
        <v>79</v>
      </c>
      <c r="S2" s="18"/>
      <c r="T2" s="18" t="s">
        <v>83</v>
      </c>
      <c r="U2" s="18" t="s">
        <v>83</v>
      </c>
      <c r="V2" t="e">
        <f>IF(Tableau1[[#This Row],[Origem pais]]&lt;&gt;"Portugal", "Declarar SIBA", "")</f>
        <v>#VALUE!</v>
      </c>
    </row>
    <row r="3" spans="1:22" ht="21.75" customHeight="1" x14ac:dyDescent="0.25">
      <c r="A3" s="12">
        <v>4</v>
      </c>
      <c r="B3" s="13" t="s">
        <v>20</v>
      </c>
      <c r="C3" s="20" t="s">
        <v>22</v>
      </c>
      <c r="D3" s="48">
        <v>46088</v>
      </c>
      <c r="E3" s="48">
        <v>46093</v>
      </c>
      <c r="F3" s="13">
        <f t="shared" si="0"/>
        <v>5</v>
      </c>
      <c r="G3" s="13">
        <v>3</v>
      </c>
      <c r="H3" s="15">
        <v>675</v>
      </c>
      <c r="I3" s="8">
        <f t="shared" si="1"/>
        <v>110.7</v>
      </c>
      <c r="J3" s="16">
        <f t="shared" si="2"/>
        <v>564.29999999999995</v>
      </c>
      <c r="K3" s="16">
        <f t="shared" si="3"/>
        <v>141.07499999999999</v>
      </c>
      <c r="L3" s="8">
        <f t="shared" si="4"/>
        <v>101.25</v>
      </c>
      <c r="M3" s="8">
        <f t="shared" si="5"/>
        <v>9.4500000000000011</v>
      </c>
      <c r="N3" s="13" t="str">
        <f t="shared" ca="1" si="6"/>
        <v>✅ Terminée</v>
      </c>
      <c r="O3" s="17" t="s">
        <v>39</v>
      </c>
      <c r="P3" s="18" t="s">
        <v>45</v>
      </c>
      <c r="Q3" s="51" t="s">
        <v>86</v>
      </c>
      <c r="R3" s="54" t="s">
        <v>79</v>
      </c>
      <c r="S3" s="18"/>
      <c r="T3" s="18" t="s">
        <v>83</v>
      </c>
      <c r="U3" s="18" t="s">
        <v>83</v>
      </c>
      <c r="V3" t="str">
        <f>IF(Tableau1[[#This Row],[Origem pais]]&lt;&gt;"Portugal", "Declarar SIBA", "")</f>
        <v/>
      </c>
    </row>
    <row r="5" spans="1:22" x14ac:dyDescent="0.25">
      <c r="H5" s="57" t="s">
        <v>117</v>
      </c>
      <c r="I5" s="58">
        <f>SUM(I2:I3)</f>
        <v>199.26</v>
      </c>
    </row>
    <row r="6" spans="1:22" x14ac:dyDescent="0.25">
      <c r="H6" s="57" t="s">
        <v>118</v>
      </c>
      <c r="I6" s="58">
        <f>I5*0.23</f>
        <v>45.829799999999999</v>
      </c>
    </row>
  </sheetData>
  <mergeCells count="1">
    <mergeCell ref="A1:P1"/>
  </mergeCells>
  <conditionalFormatting sqref="B1:B3">
    <cfRule type="containsText" dxfId="23" priority="3" operator="containsText" text="booking">
      <formula>NOT(ISERROR(SEARCH("booking",B1)))</formula>
    </cfRule>
    <cfRule type="containsText" dxfId="22" priority="4" operator="containsText" text="airbnb">
      <formula>NOT(ISERROR(SEARCH("airbnb",B1)))</formula>
    </cfRule>
  </conditionalFormatting>
  <conditionalFormatting sqref="S1:U3">
    <cfRule type="expression" dxfId="20" priority="1">
      <formula>$E1&gt;TODAY()</formula>
    </cfRule>
  </conditionalFormatting>
  <dataValidations count="2">
    <dataValidation type="list" allowBlank="1" sqref="O2:O3" xr:uid="{B722CCC4-78C0-4B77-BA10-95B409EB6567}">
      <formula1>"A definir,Manhã,Tarde,Noite,08h00,09h00,10h00,11h00,12h00,13h00,14h00,15h00,16h00,17h00,18h00,19h00,20h00,21h00,22h00"</formula1>
      <formula2>0</formula2>
    </dataValidation>
    <dataValidation type="list" allowBlank="1" sqref="B2:B3" xr:uid="{5652A34F-FD6F-4D03-968C-76E70C5E5430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2052B18-5FBD-4CBB-8467-E0CCC6503E47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57FC-69C5-4591-A618-F361D8087FB3}">
  <sheetPr codeName="Feuil5"/>
  <dimension ref="A1:V5"/>
  <sheetViews>
    <sheetView workbookViewId="0">
      <selection activeCell="T1" sqref="T1"/>
    </sheetView>
  </sheetViews>
  <sheetFormatPr baseColWidth="10" defaultRowHeight="15" x14ac:dyDescent="0.25"/>
  <cols>
    <col min="1" max="1" width="2" bestFit="1" customWidth="1"/>
    <col min="2" max="2" width="11.85546875" bestFit="1" customWidth="1"/>
    <col min="3" max="3" width="25.28515625" bestFit="1" customWidth="1"/>
    <col min="4" max="5" width="10.140625" bestFit="1" customWidth="1"/>
    <col min="6" max="7" width="2" bestFit="1" customWidth="1"/>
    <col min="8" max="8" width="16.85546875" bestFit="1" customWidth="1"/>
    <col min="9" max="9" width="7.7109375" bestFit="1" customWidth="1"/>
    <col min="10" max="10" width="8.140625" bestFit="1" customWidth="1"/>
    <col min="11" max="11" width="7.140625" bestFit="1" customWidth="1"/>
    <col min="12" max="12" width="7.7109375" bestFit="1" customWidth="1"/>
    <col min="13" max="13" width="6.7109375" bestFit="1" customWidth="1"/>
    <col min="14" max="14" width="11.7109375" bestFit="1" customWidth="1"/>
    <col min="15" max="15" width="5.5703125" bestFit="1" customWidth="1"/>
    <col min="16" max="16" width="14" bestFit="1" customWidth="1"/>
    <col min="17" max="17" width="8.28515625" bestFit="1" customWidth="1"/>
    <col min="19" max="21" width="5.2851562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1.75" customHeight="1" x14ac:dyDescent="0.25">
      <c r="A2" s="12">
        <v>6</v>
      </c>
      <c r="B2" s="13" t="s">
        <v>20</v>
      </c>
      <c r="C2" s="14" t="s">
        <v>24</v>
      </c>
      <c r="D2" s="48">
        <v>46128</v>
      </c>
      <c r="E2" s="48">
        <v>46131</v>
      </c>
      <c r="F2" s="13">
        <f t="shared" ref="F2" si="0">IF(AND(D2&lt;&gt;"",E2&lt;&gt;""),E2-D2,"")</f>
        <v>3</v>
      </c>
      <c r="G2" s="13">
        <v>6</v>
      </c>
      <c r="H2" s="15">
        <v>405</v>
      </c>
      <c r="I2" s="8">
        <f t="shared" ref="I2" si="1">IF(B2="Direto","",IF(B2="Airbnb",IF(H2&lt;&gt;"",H2*0.03+H2*0.03*0.2,""),IF(B2="Booking.com",IF(H2&lt;&gt;"",H2*0.15+H2*0.014,""),"")))</f>
        <v>66.42</v>
      </c>
      <c r="J2" s="16">
        <f t="shared" ref="J2" si="2">IF(B2="Direto",IF(H2&lt;&gt;"",H2,""),IF(H2&lt;&gt;"",H2-IF(I2&lt;&gt;"",I2,0),""))</f>
        <v>338.58</v>
      </c>
      <c r="K2" s="16">
        <f t="shared" ref="K2" si="3">IF(J2&lt;&gt;"",J2*0.25,"")</f>
        <v>84.644999999999996</v>
      </c>
      <c r="L2" s="8">
        <f t="shared" ref="L2" si="4">IF(B2="Airbnb",IF(H2&lt;&gt;"",H2*0.03,""),IF(B2="Booking.com",IF(H2&lt;&gt;"",H2*0.15,""),""))</f>
        <v>60.75</v>
      </c>
      <c r="M2" s="8">
        <f t="shared" ref="M2" si="5">IF(B2="Airbnb",IF(L2&lt;&gt;"",L2*0.2,""),IF(B2="Booking.com",IF(H2&lt;&gt;"",H2*0.014,""),""))</f>
        <v>5.67</v>
      </c>
      <c r="N2" s="13" t="str">
        <f t="shared" ref="N2" ca="1" si="6">IF(D2="","",IF(E2&lt;TODAY(),"✅ Terminée",IF(D2&lt;=TODAY(),"🟡 En cours","🔵 À venir")))</f>
        <v>✅ Terminée</v>
      </c>
      <c r="O2" s="17" t="s">
        <v>38</v>
      </c>
      <c r="P2" s="18" t="s">
        <v>47</v>
      </c>
      <c r="Q2" s="51" t="s">
        <v>86</v>
      </c>
      <c r="R2" s="54" t="s">
        <v>79</v>
      </c>
      <c r="S2" s="18" t="s">
        <v>83</v>
      </c>
      <c r="T2" s="18" t="s">
        <v>83</v>
      </c>
      <c r="U2" s="18" t="s">
        <v>83</v>
      </c>
      <c r="V2" t="e">
        <f>IF(Tableau1[[#This Row],[Origem pais]]&lt;&gt;"Portugal", "Declarar SIBA", "")</f>
        <v>#VALUE!</v>
      </c>
    </row>
    <row r="4" spans="1:22" x14ac:dyDescent="0.25">
      <c r="H4" s="57" t="s">
        <v>117</v>
      </c>
      <c r="I4" s="58">
        <f>SUM(I2:I2)</f>
        <v>66.42</v>
      </c>
    </row>
    <row r="5" spans="1:22" x14ac:dyDescent="0.25">
      <c r="H5" s="57" t="s">
        <v>118</v>
      </c>
      <c r="I5" s="58">
        <f>I4*0.23</f>
        <v>15.2766</v>
      </c>
    </row>
  </sheetData>
  <mergeCells count="1">
    <mergeCell ref="A1:P1"/>
  </mergeCells>
  <conditionalFormatting sqref="B1:B2">
    <cfRule type="containsText" dxfId="19" priority="3" operator="containsText" text="booking">
      <formula>NOT(ISERROR(SEARCH("booking",B1)))</formula>
    </cfRule>
    <cfRule type="containsText" dxfId="18" priority="4" operator="containsText" text="airbnb">
      <formula>NOT(ISERROR(SEARCH("airbnb",B1)))</formula>
    </cfRule>
  </conditionalFormatting>
  <conditionalFormatting sqref="S1:U2">
    <cfRule type="expression" dxfId="16" priority="1">
      <formula>$E1&gt;TODAY()</formula>
    </cfRule>
  </conditionalFormatting>
  <dataValidations count="2">
    <dataValidation type="list" allowBlank="1" sqref="O2" xr:uid="{FE5025D0-39CE-4BEF-9025-68BB963574E2}">
      <formula1>"A definir,Manhã,Tarde,Noite,08h00,09h00,10h00,11h00,12h00,13h00,14h00,15h00,16h00,17h00,18h00,19h00,20h00,21h00,22h00"</formula1>
      <formula2>0</formula2>
    </dataValidation>
    <dataValidation type="list" allowBlank="1" sqref="B2" xr:uid="{84CA873A-A91E-4F37-B5CA-B8BD9193BC87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AF47977-4180-42DC-BADF-C6BBDAF95935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EFDB-29D0-4074-B98A-F880879F3647}">
  <sheetPr codeName="Feuil6"/>
  <dimension ref="A1:V5"/>
  <sheetViews>
    <sheetView workbookViewId="0">
      <selection sqref="A1:P1"/>
    </sheetView>
  </sheetViews>
  <sheetFormatPr baseColWidth="10" defaultRowHeight="15" x14ac:dyDescent="0.25"/>
  <cols>
    <col min="1" max="1" width="2" bestFit="1" customWidth="1"/>
    <col min="2" max="2" width="11.85546875" bestFit="1" customWidth="1"/>
    <col min="3" max="3" width="20" bestFit="1" customWidth="1"/>
    <col min="4" max="5" width="10.140625" bestFit="1" customWidth="1"/>
    <col min="6" max="7" width="2" bestFit="1" customWidth="1"/>
    <col min="8" max="8" width="16.85546875" bestFit="1" customWidth="1"/>
    <col min="9" max="9" width="7.7109375" bestFit="1" customWidth="1"/>
    <col min="10" max="10" width="8.140625" bestFit="1" customWidth="1"/>
    <col min="11" max="11" width="7.140625" bestFit="1" customWidth="1"/>
    <col min="12" max="12" width="7.7109375" bestFit="1" customWidth="1"/>
    <col min="13" max="13" width="6.7109375" bestFit="1" customWidth="1"/>
    <col min="14" max="14" width="11.7109375" bestFit="1" customWidth="1"/>
    <col min="15" max="15" width="6" bestFit="1" customWidth="1"/>
    <col min="16" max="16" width="14" bestFit="1" customWidth="1"/>
    <col min="17" max="17" width="8.28515625" bestFit="1" customWidth="1"/>
    <col min="20" max="21" width="5.2851562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1.75" customHeight="1" x14ac:dyDescent="0.25">
      <c r="A2" s="4">
        <v>7</v>
      </c>
      <c r="B2" s="5" t="s">
        <v>20</v>
      </c>
      <c r="C2" s="19" t="s">
        <v>62</v>
      </c>
      <c r="D2" s="47">
        <v>46150</v>
      </c>
      <c r="E2" s="47">
        <v>46152</v>
      </c>
      <c r="F2" s="5">
        <f t="shared" ref="F2" si="0">IF(AND(D2&lt;&gt;"",E2&lt;&gt;""),E2-D2,"")</f>
        <v>2</v>
      </c>
      <c r="G2" s="5">
        <v>6</v>
      </c>
      <c r="H2" s="7">
        <v>270</v>
      </c>
      <c r="I2" s="8">
        <f t="shared" ref="I2" si="1">IF(B2="Direto","",IF(B2="Airbnb",IF(H2&lt;&gt;"",H2*0.03+H2*0.03*0.2,""),IF(B2="Booking.com",IF(H2&lt;&gt;"",H2*0.15+H2*0.014,""),"")))</f>
        <v>44.28</v>
      </c>
      <c r="J2" s="9">
        <f t="shared" ref="J2" si="2">IF(B2="Direto",IF(H2&lt;&gt;"",H2,""),IF(H2&lt;&gt;"",H2-IF(I2&lt;&gt;"",I2,0),""))</f>
        <v>225.72</v>
      </c>
      <c r="K2" s="9">
        <f t="shared" ref="K2" si="3">IF(J2&lt;&gt;"",J2*0.25,"")</f>
        <v>56.43</v>
      </c>
      <c r="L2" s="8">
        <f t="shared" ref="L2" si="4">IF(B2="Airbnb",IF(H2&lt;&gt;"",H2*0.03,""),IF(B2="Booking.com",IF(H2&lt;&gt;"",H2*0.15,""),""))</f>
        <v>40.5</v>
      </c>
      <c r="M2" s="8">
        <f t="shared" ref="M2" si="5">IF(B2="Airbnb",IF(L2&lt;&gt;"",L2*0.2,""),IF(B2="Booking.com",IF(H2&lt;&gt;"",H2*0.014,""),""))</f>
        <v>3.7800000000000002</v>
      </c>
      <c r="N2" s="5" t="str">
        <f t="shared" ref="N2" ca="1" si="6">IF(D2="","",IF(E2&lt;TODAY(),"✅ Terminée",IF(D2&lt;=TODAY(),"🟡 En cours","🔵 À venir")))</f>
        <v>✅ Terminée</v>
      </c>
      <c r="O2" s="10" t="s">
        <v>41</v>
      </c>
      <c r="P2" s="11" t="s">
        <v>48</v>
      </c>
      <c r="Q2" s="54" t="s">
        <v>86</v>
      </c>
      <c r="R2" s="54" t="s">
        <v>79</v>
      </c>
      <c r="S2" s="18"/>
      <c r="T2" s="18" t="s">
        <v>83</v>
      </c>
      <c r="U2" s="18" t="s">
        <v>83</v>
      </c>
      <c r="V2" t="e">
        <f>IF(Tableau1[[#This Row],[Origem pais]]&lt;&gt;"Portugal", "Declarar SIBA", "")</f>
        <v>#VALUE!</v>
      </c>
    </row>
    <row r="4" spans="1:22" x14ac:dyDescent="0.25">
      <c r="H4" s="57" t="s">
        <v>117</v>
      </c>
      <c r="I4" s="58">
        <f>SUM(I2:I2)</f>
        <v>44.28</v>
      </c>
    </row>
    <row r="5" spans="1:22" x14ac:dyDescent="0.25">
      <c r="H5" s="57" t="s">
        <v>118</v>
      </c>
      <c r="I5" s="58">
        <f>I4*0.23</f>
        <v>10.1844</v>
      </c>
    </row>
  </sheetData>
  <mergeCells count="1">
    <mergeCell ref="A1:P1"/>
  </mergeCells>
  <conditionalFormatting sqref="B1:B2">
    <cfRule type="containsText" dxfId="15" priority="3" operator="containsText" text="booking">
      <formula>NOT(ISERROR(SEARCH("booking",B1)))</formula>
    </cfRule>
    <cfRule type="containsText" dxfId="14" priority="4" operator="containsText" text="airbnb">
      <formula>NOT(ISERROR(SEARCH("airbnb",B1)))</formula>
    </cfRule>
  </conditionalFormatting>
  <conditionalFormatting sqref="S1:U2">
    <cfRule type="expression" dxfId="12" priority="1">
      <formula>$E1&gt;TODAY()</formula>
    </cfRule>
  </conditionalFormatting>
  <dataValidations count="2">
    <dataValidation type="list" allowBlank="1" sqref="O2" xr:uid="{0356B378-E95D-4137-9151-EA3938017A08}">
      <formula1>"A definir,Manhã,Tarde,Noite,08h00,09h00,10h00,11h00,12h00,13h00,14h00,15h00,16h00,17h00,18h00,19h00,20h00,21h00,22h00"</formula1>
      <formula2>0</formula2>
    </dataValidation>
    <dataValidation type="list" allowBlank="1" sqref="B2" xr:uid="{665CE253-6437-465E-96C3-89FAD7FBEB67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BFB1F13-7C28-4EF7-9B1F-D3A24F2FD9FB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D1A7-90BA-4BB6-A4F2-FF823B885C61}">
  <sheetPr codeName="Feuil7"/>
  <dimension ref="A1:V5"/>
  <sheetViews>
    <sheetView workbookViewId="0">
      <selection sqref="A1:P1"/>
    </sheetView>
  </sheetViews>
  <sheetFormatPr baseColWidth="10" defaultRowHeight="15" x14ac:dyDescent="0.25"/>
  <cols>
    <col min="1" max="1" width="2" bestFit="1" customWidth="1"/>
    <col min="2" max="2" width="11.85546875" bestFit="1" customWidth="1"/>
    <col min="3" max="3" width="13" bestFit="1" customWidth="1"/>
    <col min="4" max="5" width="10.140625" bestFit="1" customWidth="1"/>
    <col min="6" max="7" width="2" bestFit="1" customWidth="1"/>
    <col min="8" max="8" width="16.85546875" bestFit="1" customWidth="1"/>
    <col min="9" max="9" width="7.7109375" bestFit="1" customWidth="1"/>
    <col min="10" max="10" width="8.140625" bestFit="1" customWidth="1"/>
    <col min="11" max="11" width="7.140625" bestFit="1" customWidth="1"/>
    <col min="12" max="12" width="7.7109375" bestFit="1" customWidth="1"/>
    <col min="13" max="13" width="6.7109375" bestFit="1" customWidth="1"/>
    <col min="14" max="14" width="11.7109375" bestFit="1" customWidth="1"/>
    <col min="15" max="15" width="7.7109375" bestFit="1" customWidth="1"/>
    <col min="16" max="16" width="15" bestFit="1" customWidth="1"/>
    <col min="17" max="17" width="7.85546875" bestFit="1" customWidth="1"/>
    <col min="19" max="21" width="5.2851562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x14ac:dyDescent="0.25">
      <c r="A2" s="12">
        <v>8</v>
      </c>
      <c r="B2" s="13" t="s">
        <v>20</v>
      </c>
      <c r="C2" s="20" t="s">
        <v>49</v>
      </c>
      <c r="D2" s="48">
        <v>46185</v>
      </c>
      <c r="E2" s="48">
        <v>46187</v>
      </c>
      <c r="F2" s="13">
        <f t="shared" ref="F2" si="0">IF(AND(D2&lt;&gt;"",E2&lt;&gt;""),E2-D2,"")</f>
        <v>2</v>
      </c>
      <c r="G2" s="13">
        <v>3</v>
      </c>
      <c r="H2" s="15">
        <v>270</v>
      </c>
      <c r="I2" s="8">
        <f t="shared" ref="I2" si="1">IF(B2="Direto","",IF(B2="Airbnb",IF(H2&lt;&gt;"",H2*0.03+H2*0.03*0.2,""),IF(B2="Booking.com",IF(H2&lt;&gt;"",H2*0.15+H2*0.014,""),"")))</f>
        <v>44.28</v>
      </c>
      <c r="J2" s="16">
        <f t="shared" ref="J2" si="2">IF(B2="Direto",IF(H2&lt;&gt;"",H2,""),IF(H2&lt;&gt;"",H2-IF(I2&lt;&gt;"",I2,0),""))</f>
        <v>225.72</v>
      </c>
      <c r="K2" s="16">
        <f t="shared" ref="K2" si="3">IF(J2&lt;&gt;"",J2*0.25,"")</f>
        <v>56.43</v>
      </c>
      <c r="L2" s="8">
        <f t="shared" ref="L2" si="4">IF(B2="Airbnb",IF(H2&lt;&gt;"",H2*0.03,""),IF(B2="Booking.com",IF(H2&lt;&gt;"",H2*0.15,""),""))</f>
        <v>40.5</v>
      </c>
      <c r="M2" s="8">
        <f t="shared" ref="M2" si="5">IF(B2="Airbnb",IF(L2&lt;&gt;"",L2*0.2,""),IF(B2="Booking.com",IF(H2&lt;&gt;"",H2*0.014,""),""))</f>
        <v>3.7800000000000002</v>
      </c>
      <c r="N2" s="13" t="str">
        <f t="shared" ref="N2" ca="1" si="6">IF(D2="","",IF(E2&lt;TODAY(),"✅ Terminée",IF(D2&lt;=TODAY(),"🟡 En cours","🔵 À venir")))</f>
        <v>✅ Terminée</v>
      </c>
      <c r="O2" s="17" t="s">
        <v>39</v>
      </c>
      <c r="P2" s="18" t="s">
        <v>50</v>
      </c>
      <c r="Q2" s="51" t="s">
        <v>85</v>
      </c>
      <c r="R2" s="54" t="s">
        <v>79</v>
      </c>
      <c r="S2" s="18" t="s">
        <v>83</v>
      </c>
      <c r="T2" s="18" t="s">
        <v>83</v>
      </c>
      <c r="U2" s="18" t="s">
        <v>83</v>
      </c>
      <c r="V2" t="e">
        <f>IF(Tableau1[[#This Row],[Origem pais]]&lt;&gt;"Portugal", "Declarar SIBA", "")</f>
        <v>#VALUE!</v>
      </c>
    </row>
    <row r="4" spans="1:22" x14ac:dyDescent="0.25">
      <c r="H4" s="57" t="s">
        <v>117</v>
      </c>
      <c r="I4" s="58">
        <f>SUM(I2:I2)</f>
        <v>44.28</v>
      </c>
    </row>
    <row r="5" spans="1:22" x14ac:dyDescent="0.25">
      <c r="H5" s="57" t="s">
        <v>118</v>
      </c>
      <c r="I5" s="58">
        <f>I4*0.23</f>
        <v>10.1844</v>
      </c>
    </row>
  </sheetData>
  <mergeCells count="1">
    <mergeCell ref="A1:P1"/>
  </mergeCells>
  <conditionalFormatting sqref="B1:B2">
    <cfRule type="containsText" dxfId="11" priority="3" operator="containsText" text="booking">
      <formula>NOT(ISERROR(SEARCH("booking",B1)))</formula>
    </cfRule>
    <cfRule type="containsText" dxfId="10" priority="4" operator="containsText" text="airbnb">
      <formula>NOT(ISERROR(SEARCH("airbnb",B1)))</formula>
    </cfRule>
  </conditionalFormatting>
  <conditionalFormatting sqref="S1:U2">
    <cfRule type="expression" dxfId="8" priority="1">
      <formula>$E1&gt;TODAY()</formula>
    </cfRule>
  </conditionalFormatting>
  <dataValidations count="2">
    <dataValidation type="list" allowBlank="1" sqref="O2" xr:uid="{17014530-3689-47E3-AFC6-6EBC3D5F9AA0}">
      <formula1>"A definir,Manhã,Tarde,Noite,08h00,09h00,10h00,11h00,12h00,13h00,14h00,15h00,16h00,17h00,18h00,19h00,20h00,21h00,22h00"</formula1>
      <formula2>0</formula2>
    </dataValidation>
    <dataValidation type="list" allowBlank="1" sqref="B2" xr:uid="{0A239346-7706-4535-B400-84A3482A80BD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865DFB7-A59F-4CB8-99B0-D0BAFB8A2C2B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26F4-617B-47AD-A4C1-ACFDEA986AE8}">
  <sheetPr codeName="Feuil8"/>
  <dimension ref="A1:V7"/>
  <sheetViews>
    <sheetView workbookViewId="0">
      <selection activeCell="I7" sqref="I7"/>
    </sheetView>
  </sheetViews>
  <sheetFormatPr baseColWidth="10" defaultRowHeight="15" x14ac:dyDescent="0.25"/>
  <cols>
    <col min="1" max="1" width="3" bestFit="1" customWidth="1"/>
    <col min="2" max="2" width="11.85546875" bestFit="1" customWidth="1"/>
    <col min="3" max="3" width="20.42578125" bestFit="1" customWidth="1"/>
    <col min="4" max="5" width="10.140625" bestFit="1" customWidth="1"/>
    <col min="6" max="7" width="2" bestFit="1" customWidth="1"/>
    <col min="8" max="8" width="16.85546875" bestFit="1" customWidth="1"/>
    <col min="9" max="9" width="8.7109375" bestFit="1" customWidth="1"/>
    <col min="10" max="11" width="8.140625" bestFit="1" customWidth="1"/>
    <col min="12" max="12" width="7.7109375" bestFit="1" customWidth="1"/>
    <col min="13" max="13" width="6.7109375" bestFit="1" customWidth="1"/>
    <col min="14" max="14" width="11.7109375" bestFit="1" customWidth="1"/>
    <col min="15" max="15" width="7.7109375" bestFit="1" customWidth="1"/>
    <col min="16" max="16" width="15" bestFit="1" customWidth="1"/>
    <col min="17" max="17" width="7.85546875" bestFit="1" customWidth="1"/>
    <col min="19" max="21" width="5.2851562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1.75" customHeight="1" x14ac:dyDescent="0.25">
      <c r="A2" s="12">
        <v>10</v>
      </c>
      <c r="B2" s="5" t="s">
        <v>20</v>
      </c>
      <c r="C2" s="19" t="s">
        <v>56</v>
      </c>
      <c r="D2" s="47">
        <v>46236</v>
      </c>
      <c r="E2" s="47">
        <v>46240</v>
      </c>
      <c r="F2" s="13">
        <f>IF(AND(D2&lt;&gt;"",E2&lt;&gt;""),E2-D2,"")</f>
        <v>4</v>
      </c>
      <c r="G2" s="5">
        <v>2</v>
      </c>
      <c r="H2" s="15">
        <v>540</v>
      </c>
      <c r="I2" s="8">
        <f>IF(B2="Direto","",IF(B2="Airbnb",IF(H2&lt;&gt;"",H2*0.03+H2*0.03*0.2,""),IF(B2="Booking.com",IF(H2&lt;&gt;"",H2*0.15+H2*0.014,""),"")))</f>
        <v>88.56</v>
      </c>
      <c r="J2" s="16">
        <f>IF(B2="Direto",IF(H2&lt;&gt;"",H2,""),IF(H2&lt;&gt;"",H2-IF(I2&lt;&gt;"",I2,0),""))</f>
        <v>451.44</v>
      </c>
      <c r="K2" s="16">
        <f>IF(J2&lt;&gt;"",J2*0.25,"")</f>
        <v>112.86</v>
      </c>
      <c r="L2" s="8">
        <f>IF(B2="Airbnb",IF(H2&lt;&gt;"",H2*0.03,""),IF(B2="Booking.com",IF(H2&lt;&gt;"",H2*0.15,""),""))</f>
        <v>81</v>
      </c>
      <c r="M2" s="8">
        <f>IF(B2="Airbnb",IF(L2&lt;&gt;"",L2*0.2,""),IF(B2="Booking.com",IF(H2&lt;&gt;"",H2*0.014,""),""))</f>
        <v>7.5600000000000005</v>
      </c>
      <c r="N2" s="13" t="str">
        <f ca="1">IF(D2="","",IF(E2&lt;TODAY(),"✅ Terminée",IF(D2&lt;=TODAY(),"🟡 En cours","🔵 À venir")))</f>
        <v>✅ Terminée</v>
      </c>
      <c r="O2" s="17" t="s">
        <v>39</v>
      </c>
      <c r="P2" s="18" t="s">
        <v>57</v>
      </c>
      <c r="Q2" s="51" t="s">
        <v>87</v>
      </c>
      <c r="R2" s="54" t="s">
        <v>79</v>
      </c>
      <c r="S2" s="18"/>
      <c r="T2" s="18" t="s">
        <v>89</v>
      </c>
      <c r="U2" s="18" t="s">
        <v>83</v>
      </c>
      <c r="V2" t="e">
        <f>IF(Tableau1[[#This Row],[Origem pais]]&lt;&gt;"Portugal", "Declarar SIBA", "")</f>
        <v>#VALUE!</v>
      </c>
    </row>
    <row r="3" spans="1:22" x14ac:dyDescent="0.25">
      <c r="A3" s="12">
        <v>18</v>
      </c>
      <c r="B3" s="5" t="s">
        <v>20</v>
      </c>
      <c r="C3" s="38" t="s">
        <v>75</v>
      </c>
      <c r="D3" s="48">
        <v>46250</v>
      </c>
      <c r="E3" s="48">
        <v>46255</v>
      </c>
      <c r="F3" s="5">
        <f t="shared" ref="F3:F4" si="0">IF(AND(D3&lt;&gt;"",E3&lt;&gt;""),E3-D3,"")</f>
        <v>5</v>
      </c>
      <c r="G3" s="5">
        <v>3</v>
      </c>
      <c r="H3" s="7">
        <v>607.5</v>
      </c>
      <c r="I3" s="8">
        <f>104.5</f>
        <v>104.5</v>
      </c>
      <c r="J3" s="9">
        <f t="shared" ref="J3:J4" si="1">IF(B3="Direto",IF(H3&lt;&gt;"",H3,""),IF(H3&lt;&gt;"",H3-IF(I3&lt;&gt;"",I3,0),""))</f>
        <v>503</v>
      </c>
      <c r="K3" s="9">
        <f t="shared" ref="K3:K4" si="2">IF(J3&lt;&gt;"",J3*0.25,"")</f>
        <v>125.75</v>
      </c>
      <c r="L3" s="8">
        <f t="shared" ref="L3:L4" si="3">IF(B3="Airbnb",IF(H3&lt;&gt;"",H3*0.03,""),IF(B3="Booking.com",IF(H3&lt;&gt;"",H3*0.15,""),""))</f>
        <v>91.125</v>
      </c>
      <c r="M3" s="8">
        <f t="shared" ref="M3:M4" si="4">IF(B3="Airbnb",IF(L3&lt;&gt;"",L3*0.2,""),IF(B3="Booking.com",IF(H3&lt;&gt;"",H3*0.014,""),""))</f>
        <v>8.5050000000000008</v>
      </c>
      <c r="N3" s="5" t="str">
        <f t="shared" ref="N3:N4" ca="1" si="5">IF(D3="","",IF(E3&lt;TODAY(),"✅ Terminée",IF(D3&lt;=TODAY(),"🟡 En cours","🔵 À venir")))</f>
        <v>✅ Terminée</v>
      </c>
      <c r="O3" s="10" t="s">
        <v>39</v>
      </c>
      <c r="P3" s="41" t="s">
        <v>72</v>
      </c>
      <c r="Q3" s="55" t="s">
        <v>85</v>
      </c>
      <c r="R3" s="54" t="s">
        <v>79</v>
      </c>
      <c r="S3" s="18" t="s">
        <v>83</v>
      </c>
      <c r="T3" s="18" t="s">
        <v>83</v>
      </c>
      <c r="U3" s="18" t="s">
        <v>83</v>
      </c>
      <c r="V3" t="str">
        <f>IF(Tableau1[[#This Row],[Origem pais]]&lt;&gt;"Portugal", "Declarar SIBA", "")</f>
        <v/>
      </c>
    </row>
    <row r="4" spans="1:22" x14ac:dyDescent="0.25">
      <c r="A4" s="4">
        <v>19</v>
      </c>
      <c r="B4" s="39" t="s">
        <v>20</v>
      </c>
      <c r="C4" s="40" t="s">
        <v>71</v>
      </c>
      <c r="D4" s="48">
        <v>46257</v>
      </c>
      <c r="E4" s="48">
        <v>46261</v>
      </c>
      <c r="F4" s="13">
        <f t="shared" si="0"/>
        <v>4</v>
      </c>
      <c r="G4" s="13">
        <v>4</v>
      </c>
      <c r="H4" s="15">
        <v>486</v>
      </c>
      <c r="I4" s="8">
        <v>84.6</v>
      </c>
      <c r="J4" s="16">
        <f t="shared" si="1"/>
        <v>401.4</v>
      </c>
      <c r="K4" s="16">
        <f t="shared" si="2"/>
        <v>100.35</v>
      </c>
      <c r="L4" s="8">
        <f t="shared" si="3"/>
        <v>72.899999999999991</v>
      </c>
      <c r="M4" s="8">
        <f t="shared" si="4"/>
        <v>6.8040000000000003</v>
      </c>
      <c r="N4" s="13" t="str">
        <f t="shared" ca="1" si="5"/>
        <v>✅ Terminée</v>
      </c>
      <c r="O4" s="17" t="s">
        <v>41</v>
      </c>
      <c r="P4" s="42" t="s">
        <v>73</v>
      </c>
      <c r="Q4" s="55" t="s">
        <v>85</v>
      </c>
      <c r="R4" s="54" t="s">
        <v>79</v>
      </c>
      <c r="S4" s="54"/>
      <c r="T4" s="18" t="s">
        <v>83</v>
      </c>
      <c r="U4" s="18" t="s">
        <v>83</v>
      </c>
      <c r="V4" t="str">
        <f>IF(Tableau1[[#This Row],[Origem pais]]&lt;&gt;"Portugal", "Declarar SIBA", "")</f>
        <v/>
      </c>
    </row>
    <row r="6" spans="1:22" x14ac:dyDescent="0.25">
      <c r="H6" s="57" t="s">
        <v>117</v>
      </c>
      <c r="I6" s="58">
        <f>SUM(I2:I4)</f>
        <v>277.65999999999997</v>
      </c>
    </row>
    <row r="7" spans="1:22" x14ac:dyDescent="0.25">
      <c r="H7" s="57" t="s">
        <v>118</v>
      </c>
      <c r="I7" s="58">
        <f>I6*0.23</f>
        <v>63.861799999999995</v>
      </c>
    </row>
  </sheetData>
  <mergeCells count="1">
    <mergeCell ref="A1:P1"/>
  </mergeCells>
  <conditionalFormatting sqref="B1:B4">
    <cfRule type="containsText" dxfId="7" priority="3" operator="containsText" text="booking">
      <formula>NOT(ISERROR(SEARCH("booking",B1)))</formula>
    </cfRule>
    <cfRule type="containsText" dxfId="6" priority="4" operator="containsText" text="airbnb">
      <formula>NOT(ISERROR(SEARCH("airbnb",B1)))</formula>
    </cfRule>
  </conditionalFormatting>
  <conditionalFormatting sqref="S1:U4">
    <cfRule type="expression" dxfId="4" priority="1">
      <formula>$E1&gt;TODAY()</formula>
    </cfRule>
  </conditionalFormatting>
  <dataValidations count="2">
    <dataValidation type="list" allowBlank="1" sqref="O2:O4" xr:uid="{ACA0DD02-264D-4266-B88E-69A775B1E737}">
      <formula1>"A definir,Manhã,Tarde,Noite,08h00,09h00,10h00,11h00,12h00,13h00,14h00,15h00,16h00,17h00,18h00,19h00,20h00,21h00,22h00"</formula1>
      <formula2>0</formula2>
    </dataValidation>
    <dataValidation type="list" allowBlank="1" sqref="B2:B4" xr:uid="{E92A36DC-AFC6-4096-80C3-DE357A04CE1E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A562378-F0A1-4BBD-A36B-516DDB8B8BCB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C927-B371-4CB1-A5DE-AC5A5B57ECDE}">
  <sheetPr codeName="Feuil9"/>
  <dimension ref="A1:V6"/>
  <sheetViews>
    <sheetView workbookViewId="0">
      <selection activeCell="I6" sqref="I6"/>
    </sheetView>
  </sheetViews>
  <sheetFormatPr baseColWidth="10" defaultRowHeight="15" x14ac:dyDescent="0.25"/>
  <cols>
    <col min="1" max="1" width="3" bestFit="1" customWidth="1"/>
    <col min="2" max="2" width="11.85546875" bestFit="1" customWidth="1"/>
    <col min="3" max="3" width="18" bestFit="1" customWidth="1"/>
    <col min="4" max="5" width="10.140625" bestFit="1" customWidth="1"/>
    <col min="6" max="7" width="2" bestFit="1" customWidth="1"/>
    <col min="8" max="8" width="16.85546875" bestFit="1" customWidth="1"/>
    <col min="9" max="9" width="8.7109375" bestFit="1" customWidth="1"/>
    <col min="10" max="11" width="8.140625" bestFit="1" customWidth="1"/>
    <col min="12" max="12" width="8.7109375" bestFit="1" customWidth="1"/>
    <col min="13" max="13" width="6.7109375" bestFit="1" customWidth="1"/>
    <col min="14" max="14" width="9.7109375" bestFit="1" customWidth="1"/>
    <col min="15" max="15" width="7.7109375" bestFit="1" customWidth="1"/>
    <col min="16" max="16" width="15" bestFit="1" customWidth="1"/>
    <col min="17" max="17" width="7.85546875" bestFit="1" customWidth="1"/>
    <col min="22" max="22" width="9.5703125" bestFit="1" customWidth="1"/>
  </cols>
  <sheetData>
    <row r="1" spans="1:22" ht="36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4"/>
    </row>
    <row r="2" spans="1:22" ht="21.75" customHeight="1" x14ac:dyDescent="0.25">
      <c r="A2" s="4">
        <v>11</v>
      </c>
      <c r="B2" s="5" t="s">
        <v>20</v>
      </c>
      <c r="C2" s="19" t="s">
        <v>60</v>
      </c>
      <c r="D2" s="47">
        <v>46291</v>
      </c>
      <c r="E2" s="47">
        <v>46295</v>
      </c>
      <c r="F2" s="13">
        <f>IF(AND(D2&lt;&gt;"",E2&lt;&gt;""),E2-D2,"")</f>
        <v>4</v>
      </c>
      <c r="G2" s="5">
        <v>7</v>
      </c>
      <c r="H2" s="15">
        <v>680</v>
      </c>
      <c r="I2" s="8">
        <f>IF(B2="Direto","",IF(B2="Airbnb",IF(H2&lt;&gt;"",H2*0.03+H2*0.03*0.2,""),IF(B2="Booking.com",IF(H2&lt;&gt;"",H2*0.15+H2*0.014,""),"")))</f>
        <v>111.52</v>
      </c>
      <c r="J2" s="16">
        <f>IF(B2="Direto",IF(H2&lt;&gt;"",H2,""),IF(H2&lt;&gt;"",H2-IF(I2&lt;&gt;"",I2,0),""))</f>
        <v>568.48</v>
      </c>
      <c r="K2" s="16">
        <f>IF(J2&lt;&gt;"",J2*0.25,"")</f>
        <v>142.12</v>
      </c>
      <c r="L2" s="8">
        <f>IF(B2="Airbnb",IF(H2&lt;&gt;"",H2*0.03,""),IF(B2="Booking.com",IF(H2&lt;&gt;"",H2*0.15,""),""))</f>
        <v>102</v>
      </c>
      <c r="M2" s="8">
        <f>IF(B2="Airbnb",IF(L2&lt;&gt;"",L2*0.2,""),IF(B2="Booking.com",IF(H2&lt;&gt;"",H2*0.014,""),""))</f>
        <v>9.52</v>
      </c>
      <c r="N2" s="13" t="str">
        <f ca="1">IF(D2="","",IF(E2&lt;TODAY(),"✅ Terminée",IF(D2&lt;=TODAY(),"🟡 En cours","🔵 À venir")))</f>
        <v>✅ Terminée</v>
      </c>
      <c r="O2" s="17" t="s">
        <v>39</v>
      </c>
      <c r="P2" s="18" t="s">
        <v>61</v>
      </c>
      <c r="Q2" s="51" t="s">
        <v>85</v>
      </c>
      <c r="R2" s="54" t="s">
        <v>79</v>
      </c>
      <c r="S2" s="54"/>
      <c r="T2" s="18"/>
      <c r="U2" s="18"/>
      <c r="V2" t="e">
        <f>IF(Tableau1[[#This Row],[Origem pais]]&lt;&gt;"Portugal", "Declarar SIBA", "")</f>
        <v>#VALUE!</v>
      </c>
    </row>
    <row r="3" spans="1:22" ht="21.75" customHeight="1" x14ac:dyDescent="0.25">
      <c r="A3" s="4">
        <v>14</v>
      </c>
      <c r="B3" s="5" t="s">
        <v>20</v>
      </c>
      <c r="C3" s="19" t="s">
        <v>63</v>
      </c>
      <c r="D3" s="47">
        <v>46275</v>
      </c>
      <c r="E3" s="47">
        <v>46279</v>
      </c>
      <c r="F3" s="5">
        <f t="shared" ref="F3" si="0">IF(AND(D3&lt;&gt;"",E3&lt;&gt;""),E3-D3,"")</f>
        <v>4</v>
      </c>
      <c r="G3" s="5">
        <v>3</v>
      </c>
      <c r="H3" s="7">
        <v>600</v>
      </c>
      <c r="I3" s="8">
        <f t="shared" ref="I3" si="1">IF(B3="Direto","",IF(B3="Airbnb",IF(H3&lt;&gt;"",H3*0.03+H3*0.03*0.2,""),IF(B3="Booking.com",IF(H3&lt;&gt;"",H3*0.15+H3*0.014,""),"")))</f>
        <v>98.4</v>
      </c>
      <c r="J3" s="9">
        <f t="shared" ref="J3" si="2">IF(B3="Direto",IF(H3&lt;&gt;"",H3,""),IF(H3&lt;&gt;"",H3-IF(I3&lt;&gt;"",I3,0),""))</f>
        <v>501.6</v>
      </c>
      <c r="K3" s="9">
        <f t="shared" ref="K3" si="3">IF(J3&lt;&gt;"",J3*0.25,"")</f>
        <v>125.4</v>
      </c>
      <c r="L3" s="8">
        <f t="shared" ref="L3" si="4">IF(B3="Airbnb",IF(H3&lt;&gt;"",H3*0.03,""),IF(B3="Booking.com",IF(H3&lt;&gt;"",H3*0.15,""),""))</f>
        <v>90</v>
      </c>
      <c r="M3" s="8">
        <f t="shared" ref="M3" si="5">IF(B3="Airbnb",IF(L3&lt;&gt;"",L3*0.2,""),IF(B3="Booking.com",IF(H3&lt;&gt;"",H3*0.014,""),""))</f>
        <v>8.4</v>
      </c>
      <c r="N3" s="5" t="str">
        <f t="shared" ref="N3" ca="1" si="6">IF(D3="","",IF(E3&lt;TODAY(),"✅ Terminée",IF(D3&lt;=TODAY(),"🟡 En cours","🔵 À venir")))</f>
        <v>✅ Terminée</v>
      </c>
      <c r="O3" s="10" t="s">
        <v>39</v>
      </c>
      <c r="P3" s="11" t="s">
        <v>65</v>
      </c>
      <c r="Q3" s="54" t="s">
        <v>88</v>
      </c>
      <c r="R3" s="54" t="s">
        <v>79</v>
      </c>
      <c r="S3" s="54"/>
      <c r="T3" s="18"/>
      <c r="U3" s="18"/>
      <c r="V3" t="str">
        <f>IF(Tableau1[[#This Row],[Origem pais]]&lt;&gt;"Portugal", "Declarar SIBA", "")</f>
        <v/>
      </c>
    </row>
    <row r="5" spans="1:22" x14ac:dyDescent="0.25">
      <c r="H5" s="57" t="s">
        <v>117</v>
      </c>
      <c r="I5" s="58">
        <f>SUM(I2:I3)</f>
        <v>209.92000000000002</v>
      </c>
    </row>
    <row r="6" spans="1:22" x14ac:dyDescent="0.25">
      <c r="H6" s="57" t="s">
        <v>118</v>
      </c>
      <c r="I6" s="58">
        <f>I5*0.23</f>
        <v>48.281600000000005</v>
      </c>
    </row>
  </sheetData>
  <mergeCells count="1">
    <mergeCell ref="A1:P1"/>
  </mergeCells>
  <conditionalFormatting sqref="B1:B3">
    <cfRule type="containsText" dxfId="3" priority="3" operator="containsText" text="booking">
      <formula>NOT(ISERROR(SEARCH("booking",B1)))</formula>
    </cfRule>
    <cfRule type="containsText" dxfId="2" priority="4" operator="containsText" text="airbnb">
      <formula>NOT(ISERROR(SEARCH("airbnb",B1)))</formula>
    </cfRule>
  </conditionalFormatting>
  <conditionalFormatting sqref="S1:U3">
    <cfRule type="expression" dxfId="0" priority="1">
      <formula>$E1&gt;TODAY()</formula>
    </cfRule>
  </conditionalFormatting>
  <dataValidations count="2">
    <dataValidation type="list" allowBlank="1" sqref="O2:O3" xr:uid="{12E3D96E-1EF2-473C-A6EC-1BB69C6033F7}">
      <formula1>"A definir,Manhã,Tarde,Noite,08h00,09h00,10h00,11h00,12h00,13h00,14h00,15h00,16h00,17h00,18h00,19h00,20h00,21h00,22h00"</formula1>
      <formula2>0</formula2>
    </dataValidation>
    <dataValidation type="list" allowBlank="1" sqref="B2:B3" xr:uid="{1F985A7F-9C15-46C4-9C3D-74E027717B5F}">
      <formula1>"Airbnb,Booking.com,Direto"</formula1>
      <formula2>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2D4ECB5-8517-4FED-9838-2DA7BF87F463}">
            <xm:f>NOT(ISERROR(SEARCH($N$3,N1)))</xm:f>
            <xm:f>$N$3</xm:f>
            <x14:dxf>
              <fill>
                <patternFill>
                  <bgColor rgb="FFC00000"/>
                </patternFill>
              </fill>
            </x14:dxf>
          </x14:cfRule>
          <xm:sqref>N1:N3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📋 Réservations</vt:lpstr>
      <vt:lpstr>Lucro €</vt:lpstr>
      <vt:lpstr>📓 Bloc-notes</vt:lpstr>
      <vt:lpstr>Comissoes Booking - Marco</vt:lpstr>
      <vt:lpstr>Comissoes Booking - Abril</vt:lpstr>
      <vt:lpstr>Comissoes Booking - Maio</vt:lpstr>
      <vt:lpstr>Comissoes Booking - Junho</vt:lpstr>
      <vt:lpstr>Comissoes Booking - Agosto</vt:lpstr>
      <vt:lpstr>Comissoes Booking - Setembro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Patrick Salvador</cp:lastModifiedBy>
  <cp:revision>0</cp:revision>
  <dcterms:created xsi:type="dcterms:W3CDTF">2026-03-13T12:54:21Z</dcterms:created>
  <dcterms:modified xsi:type="dcterms:W3CDTF">2026-10-29T14:36:47Z</dcterms:modified>
  <dc:language>en-US</dc:language>
</cp:coreProperties>
</file>