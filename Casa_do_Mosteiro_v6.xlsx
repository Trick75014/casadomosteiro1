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070BA009-84AD-4AE7-B566-B0DF9EF3941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📓 Bloc-notes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52" i="1" l="1"/>
  <c r="N50" i="1"/>
  <c r="M50" i="1"/>
  <c r="L50" i="1"/>
  <c r="J50" i="1"/>
  <c r="K50" i="1" s="1"/>
  <c r="I50" i="1"/>
  <c r="F50" i="1"/>
  <c r="N49" i="1"/>
  <c r="M49" i="1"/>
  <c r="L49" i="1"/>
  <c r="K49" i="1"/>
  <c r="J49" i="1"/>
  <c r="I49" i="1"/>
  <c r="F49" i="1"/>
  <c r="N48" i="1"/>
  <c r="M48" i="1"/>
  <c r="L48" i="1"/>
  <c r="J48" i="1"/>
  <c r="K48" i="1" s="1"/>
  <c r="I48" i="1"/>
  <c r="F48" i="1"/>
  <c r="N47" i="1"/>
  <c r="M47" i="1"/>
  <c r="L47" i="1"/>
  <c r="K47" i="1"/>
  <c r="J47" i="1"/>
  <c r="I47" i="1"/>
  <c r="F47" i="1"/>
  <c r="N46" i="1"/>
  <c r="M46" i="1"/>
  <c r="L46" i="1"/>
  <c r="J46" i="1"/>
  <c r="K46" i="1" s="1"/>
  <c r="I46" i="1"/>
  <c r="F46" i="1"/>
  <c r="N45" i="1"/>
  <c r="M45" i="1"/>
  <c r="L45" i="1"/>
  <c r="K45" i="1"/>
  <c r="J45" i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K41" i="1"/>
  <c r="J41" i="1"/>
  <c r="I41" i="1"/>
  <c r="F41" i="1"/>
  <c r="N40" i="1"/>
  <c r="M40" i="1"/>
  <c r="L40" i="1"/>
  <c r="J40" i="1"/>
  <c r="K40" i="1" s="1"/>
  <c r="I40" i="1"/>
  <c r="F40" i="1"/>
  <c r="N39" i="1"/>
  <c r="M39" i="1"/>
  <c r="L39" i="1"/>
  <c r="K39" i="1"/>
  <c r="J39" i="1"/>
  <c r="I39" i="1"/>
  <c r="F39" i="1"/>
  <c r="N38" i="1"/>
  <c r="M38" i="1"/>
  <c r="L38" i="1"/>
  <c r="J38" i="1"/>
  <c r="K38" i="1" s="1"/>
  <c r="I38" i="1"/>
  <c r="F38" i="1"/>
  <c r="N37" i="1"/>
  <c r="M37" i="1"/>
  <c r="L37" i="1"/>
  <c r="K37" i="1"/>
  <c r="J37" i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K33" i="1"/>
  <c r="J33" i="1"/>
  <c r="I33" i="1"/>
  <c r="F33" i="1"/>
  <c r="N32" i="1"/>
  <c r="M32" i="1"/>
  <c r="L32" i="1"/>
  <c r="J32" i="1"/>
  <c r="K32" i="1" s="1"/>
  <c r="I32" i="1"/>
  <c r="F32" i="1"/>
  <c r="N31" i="1"/>
  <c r="M31" i="1"/>
  <c r="L31" i="1"/>
  <c r="K31" i="1"/>
  <c r="J31" i="1"/>
  <c r="I31" i="1"/>
  <c r="F31" i="1"/>
  <c r="N30" i="1"/>
  <c r="M30" i="1"/>
  <c r="L30" i="1"/>
  <c r="J30" i="1"/>
  <c r="K30" i="1" s="1"/>
  <c r="I30" i="1"/>
  <c r="F30" i="1"/>
  <c r="N29" i="1"/>
  <c r="M29" i="1"/>
  <c r="L29" i="1"/>
  <c r="K29" i="1"/>
  <c r="J29" i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K25" i="1"/>
  <c r="J25" i="1"/>
  <c r="I25" i="1"/>
  <c r="F25" i="1"/>
  <c r="N24" i="1"/>
  <c r="M24" i="1"/>
  <c r="L24" i="1"/>
  <c r="J24" i="1"/>
  <c r="K24" i="1" s="1"/>
  <c r="I24" i="1"/>
  <c r="F24" i="1"/>
  <c r="N23" i="1"/>
  <c r="M23" i="1"/>
  <c r="L23" i="1"/>
  <c r="K23" i="1"/>
  <c r="J23" i="1"/>
  <c r="I23" i="1"/>
  <c r="F23" i="1"/>
  <c r="N22" i="1"/>
  <c r="M22" i="1"/>
  <c r="L22" i="1"/>
  <c r="J22" i="1"/>
  <c r="K22" i="1" s="1"/>
  <c r="I22" i="1"/>
  <c r="F22" i="1"/>
  <c r="N21" i="1"/>
  <c r="M21" i="1"/>
  <c r="L21" i="1"/>
  <c r="K21" i="1"/>
  <c r="J21" i="1"/>
  <c r="I21" i="1"/>
  <c r="F21" i="1"/>
  <c r="N20" i="1"/>
  <c r="M20" i="1"/>
  <c r="L20" i="1"/>
  <c r="J20" i="1"/>
  <c r="K20" i="1" s="1"/>
  <c r="I20" i="1"/>
  <c r="F20" i="1"/>
  <c r="N19" i="1"/>
  <c r="M19" i="1"/>
  <c r="L19" i="1"/>
  <c r="J19" i="1"/>
  <c r="K19" i="1" s="1"/>
  <c r="I19" i="1"/>
  <c r="F19" i="1"/>
  <c r="N18" i="1"/>
  <c r="M18" i="1"/>
  <c r="L18" i="1"/>
  <c r="J18" i="1"/>
  <c r="K18" i="1" s="1"/>
  <c r="I18" i="1"/>
  <c r="F18" i="1"/>
  <c r="N17" i="1"/>
  <c r="M17" i="1"/>
  <c r="L17" i="1"/>
  <c r="K17" i="1"/>
  <c r="J17" i="1"/>
  <c r="I17" i="1"/>
  <c r="F17" i="1"/>
  <c r="N16" i="1"/>
  <c r="M16" i="1"/>
  <c r="L16" i="1"/>
  <c r="J16" i="1"/>
  <c r="K16" i="1" s="1"/>
  <c r="I16" i="1"/>
  <c r="F16" i="1"/>
  <c r="N15" i="1"/>
  <c r="M15" i="1"/>
  <c r="L15" i="1"/>
  <c r="K15" i="1"/>
  <c r="J15" i="1"/>
  <c r="I15" i="1"/>
  <c r="F15" i="1"/>
  <c r="N14" i="1"/>
  <c r="M14" i="1"/>
  <c r="L14" i="1"/>
  <c r="J14" i="1"/>
  <c r="K14" i="1" s="1"/>
  <c r="I14" i="1"/>
  <c r="F14" i="1"/>
  <c r="N13" i="1"/>
  <c r="M13" i="1"/>
  <c r="L13" i="1"/>
  <c r="K13" i="1"/>
  <c r="J13" i="1"/>
  <c r="I13" i="1"/>
  <c r="F13" i="1"/>
  <c r="N12" i="1"/>
  <c r="M12" i="1"/>
  <c r="L12" i="1"/>
  <c r="J12" i="1"/>
  <c r="K12" i="1" s="1"/>
  <c r="I12" i="1"/>
  <c r="F12" i="1"/>
  <c r="N11" i="1"/>
  <c r="M11" i="1"/>
  <c r="L11" i="1"/>
  <c r="J11" i="1"/>
  <c r="K11" i="1" s="1"/>
  <c r="I11" i="1"/>
  <c r="F11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J8" i="1"/>
  <c r="K8" i="1" s="1"/>
  <c r="I8" i="1"/>
  <c r="F8" i="1"/>
  <c r="N7" i="1"/>
  <c r="M7" i="1"/>
  <c r="L7" i="1"/>
  <c r="I7" i="1"/>
  <c r="J7" i="1" s="1"/>
  <c r="K7" i="1" s="1"/>
  <c r="F7" i="1"/>
  <c r="N6" i="1"/>
  <c r="M6" i="1"/>
  <c r="L6" i="1"/>
  <c r="J6" i="1"/>
  <c r="K6" i="1" s="1"/>
  <c r="I6" i="1"/>
  <c r="F6" i="1"/>
  <c r="N5" i="1"/>
  <c r="M5" i="1"/>
  <c r="L5" i="1"/>
  <c r="I5" i="1"/>
  <c r="J5" i="1" s="1"/>
  <c r="K5" i="1" s="1"/>
  <c r="F5" i="1"/>
  <c r="N4" i="1"/>
  <c r="L4" i="1"/>
  <c r="M4" i="1" s="1"/>
  <c r="J4" i="1"/>
  <c r="K4" i="1" s="1"/>
  <c r="I4" i="1"/>
  <c r="F4" i="1"/>
  <c r="N3" i="1"/>
  <c r="M3" i="1"/>
  <c r="M52" i="1" s="1"/>
  <c r="L3" i="1"/>
  <c r="L52" i="1" s="1"/>
  <c r="I3" i="1"/>
  <c r="J3" i="1" s="1"/>
  <c r="F3" i="1"/>
  <c r="N52" i="1" l="1"/>
  <c r="K3" i="1"/>
  <c r="K52" i="1" s="1"/>
  <c r="J52" i="1"/>
  <c r="I52" i="1"/>
  <c r="J53" i="1" l="1"/>
</calcChain>
</file>

<file path=xl/sharedStrings.xml><?xml version="1.0" encoding="utf-8"?>
<sst xmlns="http://schemas.openxmlformats.org/spreadsheetml/2006/main" count="63" uniqueCount="53">
  <si>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</si>
  <si>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</si>
  <si>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</si>
  <si>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</si>
  <si>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</si>
  <si>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</si>
  <si>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</si>
  <si>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</si>
  <si>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</si>
  <si>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</si>
  <si>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</si>
  <si>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</si>
  <si>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</si>
  <si>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</si>
  <si>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</si>
  <si>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</si>
  <si>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</si>
  <si>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</si>
  <si>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</si>
  <si>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</si>
  <si>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</si>
  <si>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</si>
  <si>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</si>
  <si>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</si>
  <si>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</si>
  <si>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Rubén Rivas lópez</t>
  </si>
  <si>
    <t>Rui Semanas</t>
  </si>
  <si>
    <t>TOTAUX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</si>
  <si>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</si>
  <si>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</si>
  <si>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</si>
  <si>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</si>
  <si>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</si>
  <si>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</si>
  <si>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</si>
  <si>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</si>
  <si>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</si>
  <si>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</si>
  <si>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</si>
  <si>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</si>
  <si>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</si>
  <si>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</si>
  <si>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</si>
  <si>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</si>
  <si>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</si>
  <si>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</si>
  <si>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</si>
  <si>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</si>
  <si>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</si>
  <si>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</si>
  <si>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</si>
  <si>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</si>
  <si>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00351925359867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</si>
</sst>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#,##0.00&quot; €&quot;"/>
  </numFmts>
  <fonts count="13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</fills>
  <borders count="9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2714F"/>
  </sheetPr>
  <dimension ref="A1:P55"/>
  <sheetViews>
    <sheetView showGridLines="0" tabSelected="1" zoomScaleNormal="100" workbookViewId="0">
      <pane ySplit="2" topLeftCell="A3" activePane="bottomLeft" state="frozen"/>
      <selection pane="bottomLeft" activeCell="C58" sqref="C58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customWidth="1"/>
    <col min="6" max="6" width="8" customWidth="1"/>
    <col min="7" max="7" width="11.7109375" customWidth="1"/>
    <col min="8" max="8" width="14" customWidth="1"/>
    <col min="9" max="9" width="15" customWidth="1"/>
    <col min="10" max="10" width="14" customWidth="1"/>
    <col min="11" max="11" width="16" customWidth="1"/>
    <col min="12" max="12" width="15.85546875" customWidth="1"/>
    <col min="13" max="14" width="14" customWidth="1"/>
    <col min="15" max="15" width="17" customWidth="1"/>
    <col min="16" max="16" width="16" customWidth="1"/>
  </cols>
  <sheetData>
    <row r="1" spans="1:16" ht="36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6" ht="31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</row>
    <row r="3" spans="1:16" ht="21.75" customHeight="1" x14ac:dyDescent="0.25">
      <c r="A3" s="4">
        <v>1</v>
      </c>
      <c r="B3" s="5" t="s">
        <v>17</v>
      </c>
      <c r="C3" s="6" t="s">
        <v>18</v>
      </c>
      <c r="D3" s="7">
        <v>46114</v>
      </c>
      <c r="E3" s="7">
        <v>46118</v>
      </c>
      <c r="F3" s="5">
        <f t="shared" ref="F3:F34" si="0">IF(AND(D3&lt;&gt;"",E3&lt;&gt;""),E3-D3,"")</f>
        <v>4</v>
      </c>
      <c r="G3" s="5">
        <v>5</v>
      </c>
      <c r="H3" s="8">
        <v>540</v>
      </c>
      <c r="I3" s="9">
        <f t="shared" ref="I3:I34" si="1">IF(B3="Direto","",IF(B3="Airbnb",IF(H3&lt;&gt;"",H3*0.03+H3*0.03*0.2,""),IF(B3="Booking.com",IF(H3&lt;&gt;"",H3*0.15+H3*0.014,""),"")))</f>
        <v>19.439999999999998</v>
      </c>
      <c r="J3" s="10">
        <f t="shared" ref="J3:J34" si="2">IF(B3="Direto",IF(H3&lt;&gt;"",H3,""),IF(H3&lt;&gt;"",H3-IF(I3&lt;&gt;"",I3,0),""))</f>
        <v>520.55999999999995</v>
      </c>
      <c r="K3" s="10">
        <f t="shared" ref="K3:K34" si="3">IF(J3&lt;&gt;"",J3*0.25,"")</f>
        <v>130.13999999999999</v>
      </c>
      <c r="L3" s="9">
        <f t="shared" ref="L3:L34" si="4">IF(B3="Airbnb",IF(H3&lt;&gt;"",H3*0.03,""),IF(B3="Booking.com",IF(H3&lt;&gt;"",H3*0.15,""),""))</f>
        <v>16.2</v>
      </c>
      <c r="M3" s="9">
        <f t="shared" ref="M3:M34" si="5">IF(B3="Airbnb",IF(L3&lt;&gt;"",L3*0.2,""),IF(B3="Booking.com",IF(H3&lt;&gt;"",H3*0.014,""),""))</f>
        <v>3.24</v>
      </c>
      <c r="N3" s="5" t="str">
        <f t="shared" ref="N3:N34" ca="1" si="6">IF(D3="","",IF(E3&lt;TODAY(),"✅ Terminée",IF(D3&lt;=TODAY(),"🟡 En cours","🔵 À venir")))</f>
        <v>🔵 À venir</v>
      </c>
      <c r="O3" s="11" t="s">
        <v>41</v>
      </c>
      <c r="P3" s="12" t="s">
        <v>45</v>
      </c>
    </row>
    <row r="4" spans="1:16" ht="21.75" customHeight="1" x14ac:dyDescent="0.25">
      <c r="A4" s="13">
        <v>2</v>
      </c>
      <c r="B4" s="14" t="s">
        <v>17</v>
      </c>
      <c r="C4" s="15" t="s">
        <v>19</v>
      </c>
      <c r="D4" s="16">
        <v>46206</v>
      </c>
      <c r="E4" s="16">
        <v>46208</v>
      </c>
      <c r="F4" s="14">
        <f t="shared" si="0"/>
        <v>2</v>
      </c>
      <c r="G4" s="14">
        <v>4</v>
      </c>
      <c r="H4" s="17">
        <v>300</v>
      </c>
      <c r="I4" s="9">
        <f t="shared" si="1"/>
        <v>10.8</v>
      </c>
      <c r="J4" s="18">
        <f t="shared" si="2"/>
        <v>289.2</v>
      </c>
      <c r="K4" s="18">
        <f t="shared" si="3"/>
        <v>72.3</v>
      </c>
      <c r="L4" s="9">
        <f t="shared" si="4"/>
        <v>9</v>
      </c>
      <c r="M4" s="9">
        <f t="shared" si="5"/>
        <v>1.8</v>
      </c>
      <c r="N4" s="14" t="str">
        <f t="shared" ca="1" si="6"/>
        <v>🔵 À venir</v>
      </c>
      <c r="O4" s="19" t="s">
        <v>42</v>
      </c>
      <c r="P4" s="20" t="s">
        <v>46</v>
      </c>
    </row>
    <row r="5" spans="1:16" ht="21.75" customHeight="1" x14ac:dyDescent="0.25">
      <c r="A5" s="4">
        <v>3</v>
      </c>
      <c r="B5" s="5" t="s">
        <v>20</v>
      </c>
      <c r="C5" s="21" t="s">
        <v>21</v>
      </c>
      <c r="D5" s="16">
        <v>46095</v>
      </c>
      <c r="E5" s="16">
        <v>46099</v>
      </c>
      <c r="F5" s="5">
        <f t="shared" si="0"/>
        <v>4</v>
      </c>
      <c r="G5" s="5">
        <v>4</v>
      </c>
      <c r="H5" s="8">
        <v>540</v>
      </c>
      <c r="I5" s="9">
        <f t="shared" si="1"/>
        <v>88.56</v>
      </c>
      <c r="J5" s="10">
        <f t="shared" si="2"/>
        <v>451.44</v>
      </c>
      <c r="K5" s="10">
        <f t="shared" si="3"/>
        <v>112.86</v>
      </c>
      <c r="L5" s="9">
        <f t="shared" si="4"/>
        <v>81</v>
      </c>
      <c r="M5" s="9">
        <f t="shared" si="5"/>
        <v>7.5600000000000005</v>
      </c>
      <c r="N5" s="5" t="str">
        <f t="shared" ca="1" si="6"/>
        <v>🟡 En cours</v>
      </c>
      <c r="O5" s="11" t="s">
        <v>43</v>
      </c>
      <c r="P5" s="12" t="s">
        <v>47</v>
      </c>
    </row>
    <row r="6" spans="1:16" ht="21.75" customHeight="1" x14ac:dyDescent="0.25">
      <c r="A6" s="13">
        <v>4</v>
      </c>
      <c r="B6" s="14" t="s">
        <v>20</v>
      </c>
      <c r="C6" s="22" t="s">
        <v>22</v>
      </c>
      <c r="D6" s="16">
        <v>46088</v>
      </c>
      <c r="E6" s="16">
        <v>46093</v>
      </c>
      <c r="F6" s="14">
        <f t="shared" si="0"/>
        <v>5</v>
      </c>
      <c r="G6" s="14">
        <v>3</v>
      </c>
      <c r="H6" s="17">
        <v>675</v>
      </c>
      <c r="I6" s="9">
        <f t="shared" si="1"/>
        <v>110.7</v>
      </c>
      <c r="J6" s="18">
        <f t="shared" si="2"/>
        <v>564.29999999999995</v>
      </c>
      <c r="K6" s="18">
        <f t="shared" si="3"/>
        <v>141.07499999999999</v>
      </c>
      <c r="L6" s="9">
        <f t="shared" si="4"/>
        <v>101.25</v>
      </c>
      <c r="M6" s="9">
        <f t="shared" si="5"/>
        <v>9.4500000000000011</v>
      </c>
      <c r="N6" s="14" t="str">
        <f t="shared" ca="1" si="6"/>
        <v>✅ Terminée</v>
      </c>
      <c r="O6" s="19" t="s">
        <v>42</v>
      </c>
      <c r="P6" s="20" t="s">
        <v>48</v>
      </c>
    </row>
    <row r="7" spans="1:16" ht="21.75" customHeight="1" x14ac:dyDescent="0.25">
      <c r="A7" s="4">
        <v>5</v>
      </c>
      <c r="B7" s="5" t="s">
        <v>20</v>
      </c>
      <c r="C7" s="21" t="s">
        <v>23</v>
      </c>
      <c r="D7" s="16">
        <v>45996</v>
      </c>
      <c r="E7" s="16">
        <v>45997</v>
      </c>
      <c r="F7" s="5">
        <f t="shared" si="0"/>
        <v>1</v>
      </c>
      <c r="G7" s="5">
        <v>3</v>
      </c>
      <c r="H7" s="8">
        <v>104.04</v>
      </c>
      <c r="I7" s="9">
        <f t="shared" si="1"/>
        <v>17.062560000000001</v>
      </c>
      <c r="J7" s="10">
        <f t="shared" si="2"/>
        <v>86.977440000000001</v>
      </c>
      <c r="K7" s="10">
        <f t="shared" si="3"/>
        <v>21.74436</v>
      </c>
      <c r="L7" s="9">
        <f t="shared" si="4"/>
        <v>15.606</v>
      </c>
      <c r="M7" s="9">
        <f t="shared" si="5"/>
        <v>1.4565600000000001</v>
      </c>
      <c r="N7" s="5" t="str">
        <f t="shared" ca="1" si="6"/>
        <v>✅ Terminée</v>
      </c>
      <c r="O7" s="11" t="s">
        <v>43</v>
      </c>
      <c r="P7" s="12" t="s">
        <v>49</v>
      </c>
    </row>
    <row r="8" spans="1:16" ht="21.75" customHeight="1" x14ac:dyDescent="0.25">
      <c r="A8" s="13">
        <v>6</v>
      </c>
      <c r="B8" s="14" t="s">
        <v>20</v>
      </c>
      <c r="C8" s="15" t="s">
        <v>24</v>
      </c>
      <c r="D8" s="16">
        <v>46128</v>
      </c>
      <c r="E8" s="16">
        <v>46131</v>
      </c>
      <c r="F8" s="14">
        <f t="shared" si="0"/>
        <v>3</v>
      </c>
      <c r="G8" s="14">
        <v>6</v>
      </c>
      <c r="H8" s="17">
        <v>405</v>
      </c>
      <c r="I8" s="9">
        <f t="shared" si="1"/>
        <v>66.42</v>
      </c>
      <c r="J8" s="18">
        <f t="shared" si="2"/>
        <v>338.58</v>
      </c>
      <c r="K8" s="18">
        <f t="shared" si="3"/>
        <v>84.644999999999996</v>
      </c>
      <c r="L8" s="9">
        <f t="shared" si="4"/>
        <v>60.75</v>
      </c>
      <c r="M8" s="9">
        <f t="shared" si="5"/>
        <v>5.67</v>
      </c>
      <c r="N8" s="14" t="str">
        <f t="shared" ca="1" si="6"/>
        <v>🔵 À venir</v>
      </c>
      <c r="O8" s="19" t="s">
        <v>42</v>
      </c>
      <c r="P8" s="20" t="s">
        <v>50</v>
      </c>
    </row>
    <row r="9" spans="1:16" ht="21.75" customHeight="1" x14ac:dyDescent="0.25">
      <c r="A9" s="4">
        <v>7</v>
      </c>
      <c r="B9" s="5" t="s">
        <v>20</v>
      </c>
      <c r="C9" s="21" t="s">
        <v>25</v>
      </c>
      <c r="D9" s="7">
        <v>46150</v>
      </c>
      <c r="E9" s="7">
        <v>46152</v>
      </c>
      <c r="F9" s="5">
        <f t="shared" si="0"/>
        <v>2</v>
      </c>
      <c r="G9" s="5">
        <v>6</v>
      </c>
      <c r="H9" s="8">
        <v>270</v>
      </c>
      <c r="I9" s="9">
        <f t="shared" si="1"/>
        <v>44.28</v>
      </c>
      <c r="J9" s="10">
        <f t="shared" si="2"/>
        <v>225.72</v>
      </c>
      <c r="K9" s="10">
        <f t="shared" si="3"/>
        <v>56.43</v>
      </c>
      <c r="L9" s="9">
        <f t="shared" si="4"/>
        <v>40.5</v>
      </c>
      <c r="M9" s="9">
        <f t="shared" si="5"/>
        <v>3.7800000000000002</v>
      </c>
      <c r="N9" s="5" t="str">
        <f t="shared" ca="1" si="6"/>
        <v>🔵 À venir</v>
      </c>
      <c r="O9" s="11" t="s">
        <v>44</v>
      </c>
      <c r="P9" s="12" t="s">
        <v>51</v>
      </c>
    </row>
    <row r="10" spans="1:16" x14ac:dyDescent="0.25">
      <c r="A10" s="13">
        <v>8</v>
      </c>
      <c r="B10" s="14" t="s">
        <v>20</v>
      </c>
      <c r="C10" s="22" t="s">
        <v>26</v>
      </c>
      <c r="D10" s="16">
        <v>46237</v>
      </c>
      <c r="E10" s="16">
        <v>46241</v>
      </c>
      <c r="F10" s="14">
        <f t="shared" si="0"/>
        <v>4</v>
      </c>
      <c r="G10" s="14">
        <v>5</v>
      </c>
      <c r="H10" s="17">
        <v>600</v>
      </c>
      <c r="I10" s="9">
        <f t="shared" si="1"/>
        <v>98.4</v>
      </c>
      <c r="J10" s="18">
        <f t="shared" si="2"/>
        <v>501.6</v>
      </c>
      <c r="K10" s="18">
        <f t="shared" si="3"/>
        <v>125.4</v>
      </c>
      <c r="L10" s="9">
        <f t="shared" si="4"/>
        <v>90</v>
      </c>
      <c r="M10" s="9">
        <f t="shared" si="5"/>
        <v>8.4</v>
      </c>
      <c r="N10" s="14" t="str">
        <f t="shared" ca="1" si="6"/>
        <v>🔵 À venir</v>
      </c>
      <c r="O10" s="19" t="s">
        <v>42</v>
      </c>
      <c r="P10" s="20" t="s">
        <v>52</v>
      </c>
    </row>
    <row r="11" spans="1:16" ht="21.75" hidden="1" customHeight="1" x14ac:dyDescent="0.25">
      <c r="A11" s="4">
        <v>9</v>
      </c>
      <c r="B11" s="5"/>
      <c r="C11" s="21"/>
      <c r="D11" s="7"/>
      <c r="E11" s="7"/>
      <c r="F11" s="5" t="str">
        <f t="shared" si="0"/>
        <v/>
      </c>
      <c r="G11" s="5"/>
      <c r="H11" s="8"/>
      <c r="I11" s="9" t="str">
        <f t="shared" si="1"/>
        <v/>
      </c>
      <c r="J11" s="10" t="str">
        <f t="shared" si="2"/>
        <v/>
      </c>
      <c r="K11" s="10" t="str">
        <f t="shared" si="3"/>
        <v/>
      </c>
      <c r="L11" s="9" t="str">
        <f t="shared" si="4"/>
        <v/>
      </c>
      <c r="M11" s="9" t="str">
        <f t="shared" si="5"/>
        <v/>
      </c>
      <c r="N11" s="5" t="str">
        <f t="shared" ca="1" si="6"/>
        <v/>
      </c>
      <c r="O11" s="11"/>
      <c r="P11" s="12"/>
    </row>
    <row r="12" spans="1:16" ht="21.75" hidden="1" customHeight="1" x14ac:dyDescent="0.25">
      <c r="A12" s="13">
        <v>10</v>
      </c>
      <c r="B12" s="14"/>
      <c r="C12" s="22"/>
      <c r="D12" s="16"/>
      <c r="E12" s="16"/>
      <c r="F12" s="14" t="str">
        <f t="shared" si="0"/>
        <v/>
      </c>
      <c r="G12" s="14"/>
      <c r="H12" s="17"/>
      <c r="I12" s="9" t="str">
        <f t="shared" si="1"/>
        <v/>
      </c>
      <c r="J12" s="18" t="str">
        <f t="shared" si="2"/>
        <v/>
      </c>
      <c r="K12" s="18" t="str">
        <f t="shared" si="3"/>
        <v/>
      </c>
      <c r="L12" s="9" t="str">
        <f t="shared" si="4"/>
        <v/>
      </c>
      <c r="M12" s="9" t="str">
        <f t="shared" si="5"/>
        <v/>
      </c>
      <c r="N12" s="14" t="str">
        <f t="shared" ca="1" si="6"/>
        <v/>
      </c>
      <c r="O12" s="19"/>
      <c r="P12" s="20"/>
    </row>
    <row r="13" spans="1:16" ht="21.75" hidden="1" customHeight="1" x14ac:dyDescent="0.25">
      <c r="A13" s="4">
        <v>11</v>
      </c>
      <c r="B13" s="5"/>
      <c r="C13" s="21"/>
      <c r="D13" s="7"/>
      <c r="E13" s="7"/>
      <c r="F13" s="5" t="str">
        <f t="shared" si="0"/>
        <v/>
      </c>
      <c r="G13" s="5"/>
      <c r="H13" s="8"/>
      <c r="I13" s="9" t="str">
        <f t="shared" si="1"/>
        <v/>
      </c>
      <c r="J13" s="10" t="str">
        <f t="shared" si="2"/>
        <v/>
      </c>
      <c r="K13" s="10" t="str">
        <f t="shared" si="3"/>
        <v/>
      </c>
      <c r="L13" s="9" t="str">
        <f t="shared" si="4"/>
        <v/>
      </c>
      <c r="M13" s="9" t="str">
        <f t="shared" si="5"/>
        <v/>
      </c>
      <c r="N13" s="5" t="str">
        <f t="shared" ca="1" si="6"/>
        <v/>
      </c>
      <c r="O13" s="11"/>
      <c r="P13" s="12"/>
    </row>
    <row r="14" spans="1:16" ht="21.75" hidden="1" customHeight="1" x14ac:dyDescent="0.25">
      <c r="A14" s="13">
        <v>12</v>
      </c>
      <c r="B14" s="14"/>
      <c r="C14" s="22"/>
      <c r="D14" s="16"/>
      <c r="E14" s="16"/>
      <c r="F14" s="14" t="str">
        <f t="shared" si="0"/>
        <v/>
      </c>
      <c r="G14" s="14"/>
      <c r="H14" s="17"/>
      <c r="I14" s="9" t="str">
        <f t="shared" si="1"/>
        <v/>
      </c>
      <c r="J14" s="18" t="str">
        <f t="shared" si="2"/>
        <v/>
      </c>
      <c r="K14" s="18" t="str">
        <f t="shared" si="3"/>
        <v/>
      </c>
      <c r="L14" s="9" t="str">
        <f t="shared" si="4"/>
        <v/>
      </c>
      <c r="M14" s="9" t="str">
        <f t="shared" si="5"/>
        <v/>
      </c>
      <c r="N14" s="14" t="str">
        <f t="shared" ca="1" si="6"/>
        <v/>
      </c>
      <c r="O14" s="19"/>
      <c r="P14" s="20"/>
    </row>
    <row r="15" spans="1:16" ht="21.75" hidden="1" customHeight="1" x14ac:dyDescent="0.25">
      <c r="A15" s="4">
        <v>13</v>
      </c>
      <c r="B15" s="5"/>
      <c r="C15" s="21"/>
      <c r="D15" s="7"/>
      <c r="E15" s="7"/>
      <c r="F15" s="5" t="str">
        <f t="shared" si="0"/>
        <v/>
      </c>
      <c r="G15" s="5"/>
      <c r="H15" s="8"/>
      <c r="I15" s="9" t="str">
        <f t="shared" si="1"/>
        <v/>
      </c>
      <c r="J15" s="10" t="str">
        <f t="shared" si="2"/>
        <v/>
      </c>
      <c r="K15" s="10" t="str">
        <f t="shared" si="3"/>
        <v/>
      </c>
      <c r="L15" s="9" t="str">
        <f t="shared" si="4"/>
        <v/>
      </c>
      <c r="M15" s="9" t="str">
        <f t="shared" si="5"/>
        <v/>
      </c>
      <c r="N15" s="5" t="str">
        <f t="shared" ca="1" si="6"/>
        <v/>
      </c>
      <c r="O15" s="11"/>
      <c r="P15" s="12"/>
    </row>
    <row r="16" spans="1:16" ht="21.75" hidden="1" customHeight="1" x14ac:dyDescent="0.25">
      <c r="A16" s="13">
        <v>14</v>
      </c>
      <c r="B16" s="14"/>
      <c r="C16" s="22"/>
      <c r="D16" s="16"/>
      <c r="E16" s="16"/>
      <c r="F16" s="14" t="str">
        <f t="shared" si="0"/>
        <v/>
      </c>
      <c r="G16" s="14"/>
      <c r="H16" s="17"/>
      <c r="I16" s="9" t="str">
        <f t="shared" si="1"/>
        <v/>
      </c>
      <c r="J16" s="18" t="str">
        <f t="shared" si="2"/>
        <v/>
      </c>
      <c r="K16" s="18" t="str">
        <f t="shared" si="3"/>
        <v/>
      </c>
      <c r="L16" s="9" t="str">
        <f t="shared" si="4"/>
        <v/>
      </c>
      <c r="M16" s="9" t="str">
        <f t="shared" si="5"/>
        <v/>
      </c>
      <c r="N16" s="14" t="str">
        <f t="shared" ca="1" si="6"/>
        <v/>
      </c>
      <c r="O16" s="19"/>
      <c r="P16" s="20"/>
    </row>
    <row r="17" spans="1:16" ht="21.75" hidden="1" customHeight="1" x14ac:dyDescent="0.25">
      <c r="A17" s="4">
        <v>15</v>
      </c>
      <c r="B17" s="5"/>
      <c r="C17" s="21"/>
      <c r="D17" s="7"/>
      <c r="E17" s="7"/>
      <c r="F17" s="5" t="str">
        <f t="shared" si="0"/>
        <v/>
      </c>
      <c r="G17" s="5"/>
      <c r="H17" s="8"/>
      <c r="I17" s="9" t="str">
        <f t="shared" si="1"/>
        <v/>
      </c>
      <c r="J17" s="10" t="str">
        <f t="shared" si="2"/>
        <v/>
      </c>
      <c r="K17" s="10" t="str">
        <f t="shared" si="3"/>
        <v/>
      </c>
      <c r="L17" s="9" t="str">
        <f t="shared" si="4"/>
        <v/>
      </c>
      <c r="M17" s="9" t="str">
        <f t="shared" si="5"/>
        <v/>
      </c>
      <c r="N17" s="5" t="str">
        <f t="shared" ca="1" si="6"/>
        <v/>
      </c>
      <c r="O17" s="11"/>
      <c r="P17" s="12"/>
    </row>
    <row r="18" spans="1:16" ht="21.75" hidden="1" customHeight="1" x14ac:dyDescent="0.25">
      <c r="A18" s="13">
        <v>16</v>
      </c>
      <c r="B18" s="14"/>
      <c r="C18" s="22"/>
      <c r="D18" s="16"/>
      <c r="E18" s="16"/>
      <c r="F18" s="14" t="str">
        <f t="shared" si="0"/>
        <v/>
      </c>
      <c r="G18" s="14"/>
      <c r="H18" s="17"/>
      <c r="I18" s="9" t="str">
        <f t="shared" si="1"/>
        <v/>
      </c>
      <c r="J18" s="18" t="str">
        <f t="shared" si="2"/>
        <v/>
      </c>
      <c r="K18" s="18" t="str">
        <f t="shared" si="3"/>
        <v/>
      </c>
      <c r="L18" s="9" t="str">
        <f t="shared" si="4"/>
        <v/>
      </c>
      <c r="M18" s="9" t="str">
        <f t="shared" si="5"/>
        <v/>
      </c>
      <c r="N18" s="14" t="str">
        <f t="shared" ca="1" si="6"/>
        <v/>
      </c>
      <c r="O18" s="19"/>
      <c r="P18" s="20"/>
    </row>
    <row r="19" spans="1:16" ht="21.75" hidden="1" customHeight="1" x14ac:dyDescent="0.25">
      <c r="A19" s="4">
        <v>17</v>
      </c>
      <c r="B19" s="5"/>
      <c r="C19" s="21"/>
      <c r="D19" s="7"/>
      <c r="E19" s="7"/>
      <c r="F19" s="5" t="str">
        <f t="shared" si="0"/>
        <v/>
      </c>
      <c r="G19" s="5"/>
      <c r="H19" s="8"/>
      <c r="I19" s="9" t="str">
        <f t="shared" si="1"/>
        <v/>
      </c>
      <c r="J19" s="10" t="str">
        <f t="shared" si="2"/>
        <v/>
      </c>
      <c r="K19" s="10" t="str">
        <f t="shared" si="3"/>
        <v/>
      </c>
      <c r="L19" s="9" t="str">
        <f t="shared" si="4"/>
        <v/>
      </c>
      <c r="M19" s="9" t="str">
        <f t="shared" si="5"/>
        <v/>
      </c>
      <c r="N19" s="5" t="str">
        <f t="shared" ca="1" si="6"/>
        <v/>
      </c>
      <c r="O19" s="11"/>
      <c r="P19" s="12"/>
    </row>
    <row r="20" spans="1:16" ht="21.75" hidden="1" customHeight="1" x14ac:dyDescent="0.25">
      <c r="A20" s="13">
        <v>18</v>
      </c>
      <c r="B20" s="14"/>
      <c r="C20" s="22"/>
      <c r="D20" s="16"/>
      <c r="E20" s="16"/>
      <c r="F20" s="14" t="str">
        <f t="shared" si="0"/>
        <v/>
      </c>
      <c r="G20" s="14"/>
      <c r="H20" s="17"/>
      <c r="I20" s="9" t="str">
        <f t="shared" si="1"/>
        <v/>
      </c>
      <c r="J20" s="18" t="str">
        <f t="shared" si="2"/>
        <v/>
      </c>
      <c r="K20" s="18" t="str">
        <f t="shared" si="3"/>
        <v/>
      </c>
      <c r="L20" s="9" t="str">
        <f t="shared" si="4"/>
        <v/>
      </c>
      <c r="M20" s="9" t="str">
        <f t="shared" si="5"/>
        <v/>
      </c>
      <c r="N20" s="14" t="str">
        <f t="shared" ca="1" si="6"/>
        <v/>
      </c>
      <c r="O20" s="19"/>
      <c r="P20" s="20"/>
    </row>
    <row r="21" spans="1:16" ht="21.75" hidden="1" customHeight="1" x14ac:dyDescent="0.25">
      <c r="A21" s="4">
        <v>19</v>
      </c>
      <c r="B21" s="5"/>
      <c r="C21" s="21"/>
      <c r="D21" s="7"/>
      <c r="E21" s="7"/>
      <c r="F21" s="5" t="str">
        <f t="shared" si="0"/>
        <v/>
      </c>
      <c r="G21" s="5"/>
      <c r="H21" s="8"/>
      <c r="I21" s="9" t="str">
        <f t="shared" si="1"/>
        <v/>
      </c>
      <c r="J21" s="10" t="str">
        <f t="shared" si="2"/>
        <v/>
      </c>
      <c r="K21" s="10" t="str">
        <f t="shared" si="3"/>
        <v/>
      </c>
      <c r="L21" s="9" t="str">
        <f t="shared" si="4"/>
        <v/>
      </c>
      <c r="M21" s="9" t="str">
        <f t="shared" si="5"/>
        <v/>
      </c>
      <c r="N21" s="5" t="str">
        <f t="shared" ca="1" si="6"/>
        <v/>
      </c>
      <c r="O21" s="11"/>
      <c r="P21" s="12"/>
    </row>
    <row r="22" spans="1:16" ht="21.75" hidden="1" customHeight="1" x14ac:dyDescent="0.25">
      <c r="A22" s="13">
        <v>20</v>
      </c>
      <c r="B22" s="14"/>
      <c r="C22" s="22"/>
      <c r="D22" s="16"/>
      <c r="E22" s="16"/>
      <c r="F22" s="14" t="str">
        <f t="shared" si="0"/>
        <v/>
      </c>
      <c r="G22" s="14"/>
      <c r="H22" s="17"/>
      <c r="I22" s="9" t="str">
        <f t="shared" si="1"/>
        <v/>
      </c>
      <c r="J22" s="18" t="str">
        <f t="shared" si="2"/>
        <v/>
      </c>
      <c r="K22" s="18" t="str">
        <f t="shared" si="3"/>
        <v/>
      </c>
      <c r="L22" s="9" t="str">
        <f t="shared" si="4"/>
        <v/>
      </c>
      <c r="M22" s="9" t="str">
        <f t="shared" si="5"/>
        <v/>
      </c>
      <c r="N22" s="14" t="str">
        <f t="shared" ca="1" si="6"/>
        <v/>
      </c>
      <c r="O22" s="19"/>
      <c r="P22" s="20"/>
    </row>
    <row r="23" spans="1:16" ht="21.75" hidden="1" customHeight="1" x14ac:dyDescent="0.25">
      <c r="A23" s="4">
        <v>21</v>
      </c>
      <c r="B23" s="5"/>
      <c r="C23" s="21"/>
      <c r="D23" s="7"/>
      <c r="E23" s="7"/>
      <c r="F23" s="5" t="str">
        <f t="shared" si="0"/>
        <v/>
      </c>
      <c r="G23" s="5"/>
      <c r="H23" s="8"/>
      <c r="I23" s="9" t="str">
        <f t="shared" si="1"/>
        <v/>
      </c>
      <c r="J23" s="10" t="str">
        <f t="shared" si="2"/>
        <v/>
      </c>
      <c r="K23" s="10" t="str">
        <f t="shared" si="3"/>
        <v/>
      </c>
      <c r="L23" s="9" t="str">
        <f t="shared" si="4"/>
        <v/>
      </c>
      <c r="M23" s="9" t="str">
        <f t="shared" si="5"/>
        <v/>
      </c>
      <c r="N23" s="5" t="str">
        <f t="shared" ca="1" si="6"/>
        <v/>
      </c>
      <c r="O23" s="11"/>
      <c r="P23" s="12"/>
    </row>
    <row r="24" spans="1:16" ht="21.75" hidden="1" customHeight="1" x14ac:dyDescent="0.25">
      <c r="A24" s="13">
        <v>22</v>
      </c>
      <c r="B24" s="14"/>
      <c r="C24" s="22"/>
      <c r="D24" s="16"/>
      <c r="E24" s="16"/>
      <c r="F24" s="14" t="str">
        <f t="shared" si="0"/>
        <v/>
      </c>
      <c r="G24" s="14"/>
      <c r="H24" s="17"/>
      <c r="I24" s="9" t="str">
        <f t="shared" si="1"/>
        <v/>
      </c>
      <c r="J24" s="18" t="str">
        <f t="shared" si="2"/>
        <v/>
      </c>
      <c r="K24" s="18" t="str">
        <f t="shared" si="3"/>
        <v/>
      </c>
      <c r="L24" s="9" t="str">
        <f t="shared" si="4"/>
        <v/>
      </c>
      <c r="M24" s="9" t="str">
        <f t="shared" si="5"/>
        <v/>
      </c>
      <c r="N24" s="14" t="str">
        <f t="shared" ca="1" si="6"/>
        <v/>
      </c>
      <c r="O24" s="19"/>
      <c r="P24" s="20"/>
    </row>
    <row r="25" spans="1:16" ht="21.75" hidden="1" customHeight="1" x14ac:dyDescent="0.25">
      <c r="A25" s="4">
        <v>23</v>
      </c>
      <c r="B25" s="5"/>
      <c r="C25" s="21"/>
      <c r="D25" s="7"/>
      <c r="E25" s="7"/>
      <c r="F25" s="5" t="str">
        <f t="shared" si="0"/>
        <v/>
      </c>
      <c r="G25" s="5"/>
      <c r="H25" s="8"/>
      <c r="I25" s="9" t="str">
        <f t="shared" si="1"/>
        <v/>
      </c>
      <c r="J25" s="10" t="str">
        <f t="shared" si="2"/>
        <v/>
      </c>
      <c r="K25" s="10" t="str">
        <f t="shared" si="3"/>
        <v/>
      </c>
      <c r="L25" s="9" t="str">
        <f t="shared" si="4"/>
        <v/>
      </c>
      <c r="M25" s="9" t="str">
        <f t="shared" si="5"/>
        <v/>
      </c>
      <c r="N25" s="5" t="str">
        <f t="shared" ca="1" si="6"/>
        <v/>
      </c>
      <c r="O25" s="11"/>
      <c r="P25" s="12"/>
    </row>
    <row r="26" spans="1:16" ht="21.75" hidden="1" customHeight="1" x14ac:dyDescent="0.25">
      <c r="A26" s="13">
        <v>24</v>
      </c>
      <c r="B26" s="14"/>
      <c r="C26" s="22"/>
      <c r="D26" s="16"/>
      <c r="E26" s="16"/>
      <c r="F26" s="14" t="str">
        <f t="shared" si="0"/>
        <v/>
      </c>
      <c r="G26" s="14"/>
      <c r="H26" s="17"/>
      <c r="I26" s="9" t="str">
        <f t="shared" si="1"/>
        <v/>
      </c>
      <c r="J26" s="18" t="str">
        <f t="shared" si="2"/>
        <v/>
      </c>
      <c r="K26" s="18" t="str">
        <f t="shared" si="3"/>
        <v/>
      </c>
      <c r="L26" s="9" t="str">
        <f t="shared" si="4"/>
        <v/>
      </c>
      <c r="M26" s="9" t="str">
        <f t="shared" si="5"/>
        <v/>
      </c>
      <c r="N26" s="14" t="str">
        <f t="shared" ca="1" si="6"/>
        <v/>
      </c>
      <c r="O26" s="19"/>
      <c r="P26" s="20"/>
    </row>
    <row r="27" spans="1:16" ht="21.75" hidden="1" customHeight="1" x14ac:dyDescent="0.25">
      <c r="A27" s="4">
        <v>25</v>
      </c>
      <c r="B27" s="5"/>
      <c r="C27" s="21"/>
      <c r="D27" s="7"/>
      <c r="E27" s="7"/>
      <c r="F27" s="5" t="str">
        <f t="shared" si="0"/>
        <v/>
      </c>
      <c r="G27" s="5"/>
      <c r="H27" s="8"/>
      <c r="I27" s="9" t="str">
        <f t="shared" si="1"/>
        <v/>
      </c>
      <c r="J27" s="10" t="str">
        <f t="shared" si="2"/>
        <v/>
      </c>
      <c r="K27" s="10" t="str">
        <f t="shared" si="3"/>
        <v/>
      </c>
      <c r="L27" s="9" t="str">
        <f t="shared" si="4"/>
        <v/>
      </c>
      <c r="M27" s="9" t="str">
        <f t="shared" si="5"/>
        <v/>
      </c>
      <c r="N27" s="5" t="str">
        <f t="shared" ca="1" si="6"/>
        <v/>
      </c>
      <c r="O27" s="11"/>
      <c r="P27" s="12"/>
    </row>
    <row r="28" spans="1:16" ht="21.75" hidden="1" customHeight="1" x14ac:dyDescent="0.25">
      <c r="A28" s="13">
        <v>26</v>
      </c>
      <c r="B28" s="14"/>
      <c r="C28" s="22"/>
      <c r="D28" s="16"/>
      <c r="E28" s="16"/>
      <c r="F28" s="14" t="str">
        <f t="shared" si="0"/>
        <v/>
      </c>
      <c r="G28" s="14"/>
      <c r="H28" s="17"/>
      <c r="I28" s="9" t="str">
        <f t="shared" si="1"/>
        <v/>
      </c>
      <c r="J28" s="18" t="str">
        <f t="shared" si="2"/>
        <v/>
      </c>
      <c r="K28" s="18" t="str">
        <f t="shared" si="3"/>
        <v/>
      </c>
      <c r="L28" s="9" t="str">
        <f t="shared" si="4"/>
        <v/>
      </c>
      <c r="M28" s="9" t="str">
        <f t="shared" si="5"/>
        <v/>
      </c>
      <c r="N28" s="14" t="str">
        <f t="shared" ca="1" si="6"/>
        <v/>
      </c>
      <c r="O28" s="19"/>
      <c r="P28" s="20"/>
    </row>
    <row r="29" spans="1:16" ht="21.75" hidden="1" customHeight="1" x14ac:dyDescent="0.25">
      <c r="A29" s="4">
        <v>27</v>
      </c>
      <c r="B29" s="5"/>
      <c r="C29" s="21"/>
      <c r="D29" s="7"/>
      <c r="E29" s="7"/>
      <c r="F29" s="5" t="str">
        <f t="shared" si="0"/>
        <v/>
      </c>
      <c r="G29" s="5"/>
      <c r="H29" s="8"/>
      <c r="I29" s="9" t="str">
        <f t="shared" si="1"/>
        <v/>
      </c>
      <c r="J29" s="10" t="str">
        <f t="shared" si="2"/>
        <v/>
      </c>
      <c r="K29" s="10" t="str">
        <f t="shared" si="3"/>
        <v/>
      </c>
      <c r="L29" s="9" t="str">
        <f t="shared" si="4"/>
        <v/>
      </c>
      <c r="M29" s="9" t="str">
        <f t="shared" si="5"/>
        <v/>
      </c>
      <c r="N29" s="5" t="str">
        <f t="shared" ca="1" si="6"/>
        <v/>
      </c>
      <c r="O29" s="11"/>
      <c r="P29" s="12"/>
    </row>
    <row r="30" spans="1:16" ht="21.75" hidden="1" customHeight="1" x14ac:dyDescent="0.25">
      <c r="A30" s="13">
        <v>28</v>
      </c>
      <c r="B30" s="14"/>
      <c r="C30" s="22"/>
      <c r="D30" s="16"/>
      <c r="E30" s="16"/>
      <c r="F30" s="14" t="str">
        <f t="shared" si="0"/>
        <v/>
      </c>
      <c r="G30" s="14"/>
      <c r="H30" s="17"/>
      <c r="I30" s="9" t="str">
        <f t="shared" si="1"/>
        <v/>
      </c>
      <c r="J30" s="18" t="str">
        <f t="shared" si="2"/>
        <v/>
      </c>
      <c r="K30" s="18" t="str">
        <f t="shared" si="3"/>
        <v/>
      </c>
      <c r="L30" s="9" t="str">
        <f t="shared" si="4"/>
        <v/>
      </c>
      <c r="M30" s="9" t="str">
        <f t="shared" si="5"/>
        <v/>
      </c>
      <c r="N30" s="14" t="str">
        <f t="shared" ca="1" si="6"/>
        <v/>
      </c>
      <c r="O30" s="19"/>
      <c r="P30" s="20"/>
    </row>
    <row r="31" spans="1:16" ht="21.75" hidden="1" customHeight="1" x14ac:dyDescent="0.25">
      <c r="A31" s="4">
        <v>29</v>
      </c>
      <c r="B31" s="5"/>
      <c r="C31" s="21"/>
      <c r="D31" s="7"/>
      <c r="E31" s="7"/>
      <c r="F31" s="5" t="str">
        <f t="shared" si="0"/>
        <v/>
      </c>
      <c r="G31" s="5"/>
      <c r="H31" s="8"/>
      <c r="I31" s="9" t="str">
        <f t="shared" si="1"/>
        <v/>
      </c>
      <c r="J31" s="10" t="str">
        <f t="shared" si="2"/>
        <v/>
      </c>
      <c r="K31" s="10" t="str">
        <f t="shared" si="3"/>
        <v/>
      </c>
      <c r="L31" s="9" t="str">
        <f t="shared" si="4"/>
        <v/>
      </c>
      <c r="M31" s="9" t="str">
        <f t="shared" si="5"/>
        <v/>
      </c>
      <c r="N31" s="5" t="str">
        <f t="shared" ca="1" si="6"/>
        <v/>
      </c>
      <c r="O31" s="11"/>
      <c r="P31" s="12"/>
    </row>
    <row r="32" spans="1:16" ht="21.75" hidden="1" customHeight="1" x14ac:dyDescent="0.25">
      <c r="A32" s="13">
        <v>30</v>
      </c>
      <c r="B32" s="14"/>
      <c r="C32" s="22"/>
      <c r="D32" s="16"/>
      <c r="E32" s="16"/>
      <c r="F32" s="14" t="str">
        <f t="shared" si="0"/>
        <v/>
      </c>
      <c r="G32" s="14"/>
      <c r="H32" s="17"/>
      <c r="I32" s="9" t="str">
        <f t="shared" si="1"/>
        <v/>
      </c>
      <c r="J32" s="18" t="str">
        <f t="shared" si="2"/>
        <v/>
      </c>
      <c r="K32" s="18" t="str">
        <f t="shared" si="3"/>
        <v/>
      </c>
      <c r="L32" s="9" t="str">
        <f t="shared" si="4"/>
        <v/>
      </c>
      <c r="M32" s="9" t="str">
        <f t="shared" si="5"/>
        <v/>
      </c>
      <c r="N32" s="14" t="str">
        <f t="shared" ca="1" si="6"/>
        <v/>
      </c>
      <c r="O32" s="19"/>
      <c r="P32" s="20"/>
    </row>
    <row r="33" spans="1:16" ht="21.75" hidden="1" customHeight="1" x14ac:dyDescent="0.25">
      <c r="A33" s="4">
        <v>31</v>
      </c>
      <c r="B33" s="5"/>
      <c r="C33" s="21"/>
      <c r="D33" s="7"/>
      <c r="E33" s="7"/>
      <c r="F33" s="5" t="str">
        <f t="shared" si="0"/>
        <v/>
      </c>
      <c r="G33" s="5"/>
      <c r="H33" s="8"/>
      <c r="I33" s="9" t="str">
        <f t="shared" si="1"/>
        <v/>
      </c>
      <c r="J33" s="10" t="str">
        <f t="shared" si="2"/>
        <v/>
      </c>
      <c r="K33" s="10" t="str">
        <f t="shared" si="3"/>
        <v/>
      </c>
      <c r="L33" s="9" t="str">
        <f t="shared" si="4"/>
        <v/>
      </c>
      <c r="M33" s="9" t="str">
        <f t="shared" si="5"/>
        <v/>
      </c>
      <c r="N33" s="5" t="str">
        <f t="shared" ca="1" si="6"/>
        <v/>
      </c>
      <c r="O33" s="11"/>
      <c r="P33" s="12"/>
    </row>
    <row r="34" spans="1:16" ht="21.75" hidden="1" customHeight="1" x14ac:dyDescent="0.25">
      <c r="A34" s="13">
        <v>32</v>
      </c>
      <c r="B34" s="14"/>
      <c r="C34" s="22"/>
      <c r="D34" s="16"/>
      <c r="E34" s="16"/>
      <c r="F34" s="14" t="str">
        <f t="shared" si="0"/>
        <v/>
      </c>
      <c r="G34" s="14"/>
      <c r="H34" s="17"/>
      <c r="I34" s="9" t="str">
        <f t="shared" si="1"/>
        <v/>
      </c>
      <c r="J34" s="18" t="str">
        <f t="shared" si="2"/>
        <v/>
      </c>
      <c r="K34" s="18" t="str">
        <f t="shared" si="3"/>
        <v/>
      </c>
      <c r="L34" s="9" t="str">
        <f t="shared" si="4"/>
        <v/>
      </c>
      <c r="M34" s="9" t="str">
        <f t="shared" si="5"/>
        <v/>
      </c>
      <c r="N34" s="14" t="str">
        <f t="shared" ca="1" si="6"/>
        <v/>
      </c>
      <c r="O34" s="19"/>
      <c r="P34" s="20"/>
    </row>
    <row r="35" spans="1:16" ht="21.75" hidden="1" customHeight="1" x14ac:dyDescent="0.25">
      <c r="A35" s="4">
        <v>33</v>
      </c>
      <c r="B35" s="5"/>
      <c r="C35" s="21"/>
      <c r="D35" s="7"/>
      <c r="E35" s="7"/>
      <c r="F35" s="5" t="str">
        <f t="shared" ref="F35:F50" si="7">IF(AND(D35&lt;&gt;"",E35&lt;&gt;""),E35-D35,"")</f>
        <v/>
      </c>
      <c r="G35" s="5"/>
      <c r="H35" s="8"/>
      <c r="I35" s="9" t="str">
        <f t="shared" ref="I35:I50" si="8">IF(B35="Direto","",IF(B35="Airbnb",IF(H35&lt;&gt;"",H35*0.03+H35*0.03*0.2,""),IF(B35="Booking.com",IF(H35&lt;&gt;"",H35*0.15+H35*0.014,""),"")))</f>
        <v/>
      </c>
      <c r="J35" s="10" t="str">
        <f t="shared" ref="J35:J50" si="9">IF(B35="Direto",IF(H35&lt;&gt;"",H35,""),IF(H35&lt;&gt;"",H35-IF(I35&lt;&gt;"",I35,0),""))</f>
        <v/>
      </c>
      <c r="K35" s="10" t="str">
        <f t="shared" ref="K35:K50" si="10">IF(J35&lt;&gt;"",J35*0.25,"")</f>
        <v/>
      </c>
      <c r="L35" s="9" t="str">
        <f t="shared" ref="L35:L50" si="11">IF(B35="Airbnb",IF(H35&lt;&gt;"",H35*0.03,""),IF(B35="Booking.com",IF(H35&lt;&gt;"",H35*0.15,""),""))</f>
        <v/>
      </c>
      <c r="M35" s="9" t="str">
        <f t="shared" ref="M35:M50" si="12">IF(B35="Airbnb",IF(L35&lt;&gt;"",L35*0.2,""),IF(B35="Booking.com",IF(H35&lt;&gt;"",H35*0.014,""),""))</f>
        <v/>
      </c>
      <c r="N35" s="5" t="str">
        <f t="shared" ref="N35:N50" ca="1" si="13">IF(D35="","",IF(E35&lt;TODAY(),"✅ Terminée",IF(D35&lt;=TODAY(),"🟡 En cours","🔵 À venir")))</f>
        <v/>
      </c>
      <c r="O35" s="11"/>
      <c r="P35" s="12"/>
    </row>
    <row r="36" spans="1:16" ht="21.75" hidden="1" customHeight="1" x14ac:dyDescent="0.25">
      <c r="A36" s="13">
        <v>34</v>
      </c>
      <c r="B36" s="14"/>
      <c r="C36" s="22"/>
      <c r="D36" s="16"/>
      <c r="E36" s="16"/>
      <c r="F36" s="14" t="str">
        <f t="shared" si="7"/>
        <v/>
      </c>
      <c r="G36" s="14"/>
      <c r="H36" s="17"/>
      <c r="I36" s="9" t="str">
        <f t="shared" si="8"/>
        <v/>
      </c>
      <c r="J36" s="18" t="str">
        <f t="shared" si="9"/>
        <v/>
      </c>
      <c r="K36" s="18" t="str">
        <f t="shared" si="10"/>
        <v/>
      </c>
      <c r="L36" s="9" t="str">
        <f t="shared" si="11"/>
        <v/>
      </c>
      <c r="M36" s="9" t="str">
        <f t="shared" si="12"/>
        <v/>
      </c>
      <c r="N36" s="14" t="str">
        <f t="shared" ca="1" si="13"/>
        <v/>
      </c>
      <c r="O36" s="19"/>
      <c r="P36" s="20"/>
    </row>
    <row r="37" spans="1:16" ht="21.75" hidden="1" customHeight="1" x14ac:dyDescent="0.25">
      <c r="A37" s="4">
        <v>35</v>
      </c>
      <c r="B37" s="5"/>
      <c r="C37" s="21"/>
      <c r="D37" s="7"/>
      <c r="E37" s="7"/>
      <c r="F37" s="5" t="str">
        <f t="shared" si="7"/>
        <v/>
      </c>
      <c r="G37" s="5"/>
      <c r="H37" s="8"/>
      <c r="I37" s="9" t="str">
        <f t="shared" si="8"/>
        <v/>
      </c>
      <c r="J37" s="10" t="str">
        <f t="shared" si="9"/>
        <v/>
      </c>
      <c r="K37" s="10" t="str">
        <f t="shared" si="10"/>
        <v/>
      </c>
      <c r="L37" s="9" t="str">
        <f t="shared" si="11"/>
        <v/>
      </c>
      <c r="M37" s="9" t="str">
        <f t="shared" si="12"/>
        <v/>
      </c>
      <c r="N37" s="5" t="str">
        <f t="shared" ca="1" si="13"/>
        <v/>
      </c>
      <c r="O37" s="11"/>
      <c r="P37" s="12"/>
    </row>
    <row r="38" spans="1:16" ht="21.75" hidden="1" customHeight="1" x14ac:dyDescent="0.25">
      <c r="A38" s="13">
        <v>36</v>
      </c>
      <c r="B38" s="14"/>
      <c r="C38" s="22"/>
      <c r="D38" s="16"/>
      <c r="E38" s="16"/>
      <c r="F38" s="14" t="str">
        <f t="shared" si="7"/>
        <v/>
      </c>
      <c r="G38" s="14"/>
      <c r="H38" s="17"/>
      <c r="I38" s="9" t="str">
        <f t="shared" si="8"/>
        <v/>
      </c>
      <c r="J38" s="18" t="str">
        <f t="shared" si="9"/>
        <v/>
      </c>
      <c r="K38" s="18" t="str">
        <f t="shared" si="10"/>
        <v/>
      </c>
      <c r="L38" s="9" t="str">
        <f t="shared" si="11"/>
        <v/>
      </c>
      <c r="M38" s="9" t="str">
        <f t="shared" si="12"/>
        <v/>
      </c>
      <c r="N38" s="14" t="str">
        <f t="shared" ca="1" si="13"/>
        <v/>
      </c>
      <c r="O38" s="19"/>
      <c r="P38" s="20"/>
    </row>
    <row r="39" spans="1:16" ht="21.75" hidden="1" customHeight="1" x14ac:dyDescent="0.25">
      <c r="A39" s="4">
        <v>37</v>
      </c>
      <c r="B39" s="5"/>
      <c r="C39" s="21"/>
      <c r="D39" s="7"/>
      <c r="E39" s="7"/>
      <c r="F39" s="5" t="str">
        <f t="shared" si="7"/>
        <v/>
      </c>
      <c r="G39" s="5"/>
      <c r="H39" s="8"/>
      <c r="I39" s="9" t="str">
        <f t="shared" si="8"/>
        <v/>
      </c>
      <c r="J39" s="10" t="str">
        <f t="shared" si="9"/>
        <v/>
      </c>
      <c r="K39" s="10" t="str">
        <f t="shared" si="10"/>
        <v/>
      </c>
      <c r="L39" s="9" t="str">
        <f t="shared" si="11"/>
        <v/>
      </c>
      <c r="M39" s="9" t="str">
        <f t="shared" si="12"/>
        <v/>
      </c>
      <c r="N39" s="5" t="str">
        <f t="shared" ca="1" si="13"/>
        <v/>
      </c>
      <c r="O39" s="11"/>
      <c r="P39" s="12"/>
    </row>
    <row r="40" spans="1:16" ht="21.75" hidden="1" customHeight="1" x14ac:dyDescent="0.25">
      <c r="A40" s="13">
        <v>38</v>
      </c>
      <c r="B40" s="14"/>
      <c r="C40" s="22"/>
      <c r="D40" s="16"/>
      <c r="E40" s="16"/>
      <c r="F40" s="14" t="str">
        <f t="shared" si="7"/>
        <v/>
      </c>
      <c r="G40" s="14"/>
      <c r="H40" s="17"/>
      <c r="I40" s="9" t="str">
        <f t="shared" si="8"/>
        <v/>
      </c>
      <c r="J40" s="18" t="str">
        <f t="shared" si="9"/>
        <v/>
      </c>
      <c r="K40" s="18" t="str">
        <f t="shared" si="10"/>
        <v/>
      </c>
      <c r="L40" s="9" t="str">
        <f t="shared" si="11"/>
        <v/>
      </c>
      <c r="M40" s="9" t="str">
        <f t="shared" si="12"/>
        <v/>
      </c>
      <c r="N40" s="14" t="str">
        <f t="shared" ca="1" si="13"/>
        <v/>
      </c>
      <c r="O40" s="19"/>
      <c r="P40" s="20"/>
    </row>
    <row r="41" spans="1:16" ht="21.75" hidden="1" customHeight="1" x14ac:dyDescent="0.25">
      <c r="A41" s="4">
        <v>39</v>
      </c>
      <c r="B41" s="5"/>
      <c r="C41" s="21"/>
      <c r="D41" s="7"/>
      <c r="E41" s="7"/>
      <c r="F41" s="5" t="str">
        <f t="shared" si="7"/>
        <v/>
      </c>
      <c r="G41" s="5"/>
      <c r="H41" s="8"/>
      <c r="I41" s="9" t="str">
        <f t="shared" si="8"/>
        <v/>
      </c>
      <c r="J41" s="10" t="str">
        <f t="shared" si="9"/>
        <v/>
      </c>
      <c r="K41" s="10" t="str">
        <f t="shared" si="10"/>
        <v/>
      </c>
      <c r="L41" s="9" t="str">
        <f t="shared" si="11"/>
        <v/>
      </c>
      <c r="M41" s="9" t="str">
        <f t="shared" si="12"/>
        <v/>
      </c>
      <c r="N41" s="5" t="str">
        <f t="shared" ca="1" si="13"/>
        <v/>
      </c>
      <c r="O41" s="11"/>
      <c r="P41" s="12"/>
    </row>
    <row r="42" spans="1:16" ht="21.75" hidden="1" customHeight="1" x14ac:dyDescent="0.25">
      <c r="A42" s="13">
        <v>40</v>
      </c>
      <c r="B42" s="14"/>
      <c r="C42" s="22"/>
      <c r="D42" s="16"/>
      <c r="E42" s="16"/>
      <c r="F42" s="14" t="str">
        <f t="shared" si="7"/>
        <v/>
      </c>
      <c r="G42" s="14"/>
      <c r="H42" s="17"/>
      <c r="I42" s="9" t="str">
        <f t="shared" si="8"/>
        <v/>
      </c>
      <c r="J42" s="18" t="str">
        <f t="shared" si="9"/>
        <v/>
      </c>
      <c r="K42" s="18" t="str">
        <f t="shared" si="10"/>
        <v/>
      </c>
      <c r="L42" s="9" t="str">
        <f t="shared" si="11"/>
        <v/>
      </c>
      <c r="M42" s="9" t="str">
        <f t="shared" si="12"/>
        <v/>
      </c>
      <c r="N42" s="14" t="str">
        <f t="shared" ca="1" si="13"/>
        <v/>
      </c>
      <c r="O42" s="19"/>
      <c r="P42" s="20"/>
    </row>
    <row r="43" spans="1:16" ht="21.75" hidden="1" customHeight="1" x14ac:dyDescent="0.25">
      <c r="A43" s="4">
        <v>41</v>
      </c>
      <c r="B43" s="5"/>
      <c r="C43" s="21"/>
      <c r="D43" s="7"/>
      <c r="E43" s="7"/>
      <c r="F43" s="5" t="str">
        <f t="shared" si="7"/>
        <v/>
      </c>
      <c r="G43" s="5"/>
      <c r="H43" s="8"/>
      <c r="I43" s="9" t="str">
        <f t="shared" si="8"/>
        <v/>
      </c>
      <c r="J43" s="10" t="str">
        <f t="shared" si="9"/>
        <v/>
      </c>
      <c r="K43" s="10" t="str">
        <f t="shared" si="10"/>
        <v/>
      </c>
      <c r="L43" s="9" t="str">
        <f t="shared" si="11"/>
        <v/>
      </c>
      <c r="M43" s="9" t="str">
        <f t="shared" si="12"/>
        <v/>
      </c>
      <c r="N43" s="5" t="str">
        <f t="shared" ca="1" si="13"/>
        <v/>
      </c>
      <c r="O43" s="11"/>
      <c r="P43" s="12"/>
    </row>
    <row r="44" spans="1:16" ht="21.75" hidden="1" customHeight="1" x14ac:dyDescent="0.25">
      <c r="A44" s="13">
        <v>42</v>
      </c>
      <c r="B44" s="14"/>
      <c r="C44" s="22"/>
      <c r="D44" s="16"/>
      <c r="E44" s="16"/>
      <c r="F44" s="14" t="str">
        <f t="shared" si="7"/>
        <v/>
      </c>
      <c r="G44" s="14"/>
      <c r="H44" s="17"/>
      <c r="I44" s="9" t="str">
        <f t="shared" si="8"/>
        <v/>
      </c>
      <c r="J44" s="18" t="str">
        <f t="shared" si="9"/>
        <v/>
      </c>
      <c r="K44" s="18" t="str">
        <f t="shared" si="10"/>
        <v/>
      </c>
      <c r="L44" s="9" t="str">
        <f t="shared" si="11"/>
        <v/>
      </c>
      <c r="M44" s="9" t="str">
        <f t="shared" si="12"/>
        <v/>
      </c>
      <c r="N44" s="14" t="str">
        <f t="shared" ca="1" si="13"/>
        <v/>
      </c>
      <c r="O44" s="19"/>
      <c r="P44" s="20"/>
    </row>
    <row r="45" spans="1:16" ht="21.75" hidden="1" customHeight="1" x14ac:dyDescent="0.25">
      <c r="A45" s="4">
        <v>43</v>
      </c>
      <c r="B45" s="5"/>
      <c r="C45" s="21"/>
      <c r="D45" s="7"/>
      <c r="E45" s="7"/>
      <c r="F45" s="5" t="str">
        <f t="shared" si="7"/>
        <v/>
      </c>
      <c r="G45" s="5"/>
      <c r="H45" s="8"/>
      <c r="I45" s="9" t="str">
        <f t="shared" si="8"/>
        <v/>
      </c>
      <c r="J45" s="10" t="str">
        <f t="shared" si="9"/>
        <v/>
      </c>
      <c r="K45" s="10" t="str">
        <f t="shared" si="10"/>
        <v/>
      </c>
      <c r="L45" s="9" t="str">
        <f t="shared" si="11"/>
        <v/>
      </c>
      <c r="M45" s="9" t="str">
        <f t="shared" si="12"/>
        <v/>
      </c>
      <c r="N45" s="5" t="str">
        <f t="shared" ca="1" si="13"/>
        <v/>
      </c>
      <c r="O45" s="11"/>
      <c r="P45" s="12"/>
    </row>
    <row r="46" spans="1:16" ht="21.75" hidden="1" customHeight="1" x14ac:dyDescent="0.25">
      <c r="A46" s="13">
        <v>44</v>
      </c>
      <c r="B46" s="14"/>
      <c r="C46" s="22"/>
      <c r="D46" s="16"/>
      <c r="E46" s="16"/>
      <c r="F46" s="14" t="str">
        <f t="shared" si="7"/>
        <v/>
      </c>
      <c r="G46" s="14"/>
      <c r="H46" s="17"/>
      <c r="I46" s="9" t="str">
        <f t="shared" si="8"/>
        <v/>
      </c>
      <c r="J46" s="18" t="str">
        <f t="shared" si="9"/>
        <v/>
      </c>
      <c r="K46" s="18" t="str">
        <f t="shared" si="10"/>
        <v/>
      </c>
      <c r="L46" s="9" t="str">
        <f t="shared" si="11"/>
        <v/>
      </c>
      <c r="M46" s="9" t="str">
        <f t="shared" si="12"/>
        <v/>
      </c>
      <c r="N46" s="14" t="str">
        <f t="shared" ca="1" si="13"/>
        <v/>
      </c>
      <c r="O46" s="19"/>
      <c r="P46" s="20"/>
    </row>
    <row r="47" spans="1:16" ht="21.75" hidden="1" customHeight="1" x14ac:dyDescent="0.25">
      <c r="A47" s="4">
        <v>45</v>
      </c>
      <c r="B47" s="5"/>
      <c r="C47" s="21"/>
      <c r="D47" s="7"/>
      <c r="E47" s="7"/>
      <c r="F47" s="5" t="str">
        <f t="shared" si="7"/>
        <v/>
      </c>
      <c r="G47" s="5"/>
      <c r="H47" s="8"/>
      <c r="I47" s="9" t="str">
        <f t="shared" si="8"/>
        <v/>
      </c>
      <c r="J47" s="10" t="str">
        <f t="shared" si="9"/>
        <v/>
      </c>
      <c r="K47" s="10" t="str">
        <f t="shared" si="10"/>
        <v/>
      </c>
      <c r="L47" s="9" t="str">
        <f t="shared" si="11"/>
        <v/>
      </c>
      <c r="M47" s="9" t="str">
        <f t="shared" si="12"/>
        <v/>
      </c>
      <c r="N47" s="5" t="str">
        <f t="shared" ca="1" si="13"/>
        <v/>
      </c>
      <c r="O47" s="11"/>
      <c r="P47" s="12"/>
    </row>
    <row r="48" spans="1:16" ht="21.75" hidden="1" customHeight="1" x14ac:dyDescent="0.25">
      <c r="A48" s="13">
        <v>46</v>
      </c>
      <c r="B48" s="14"/>
      <c r="C48" s="22"/>
      <c r="D48" s="16"/>
      <c r="E48" s="16"/>
      <c r="F48" s="14" t="str">
        <f t="shared" si="7"/>
        <v/>
      </c>
      <c r="G48" s="14"/>
      <c r="H48" s="17"/>
      <c r="I48" s="9" t="str">
        <f t="shared" si="8"/>
        <v/>
      </c>
      <c r="J48" s="18" t="str">
        <f t="shared" si="9"/>
        <v/>
      </c>
      <c r="K48" s="18" t="str">
        <f t="shared" si="10"/>
        <v/>
      </c>
      <c r="L48" s="9" t="str">
        <f t="shared" si="11"/>
        <v/>
      </c>
      <c r="M48" s="9" t="str">
        <f t="shared" si="12"/>
        <v/>
      </c>
      <c r="N48" s="14" t="str">
        <f t="shared" ca="1" si="13"/>
        <v/>
      </c>
      <c r="O48" s="19"/>
      <c r="P48" s="20"/>
    </row>
    <row r="49" spans="1:16" ht="21.75" hidden="1" customHeight="1" x14ac:dyDescent="0.25">
      <c r="A49" s="4">
        <v>47</v>
      </c>
      <c r="B49" s="5"/>
      <c r="C49" s="21"/>
      <c r="D49" s="7"/>
      <c r="E49" s="7"/>
      <c r="F49" s="5" t="str">
        <f t="shared" si="7"/>
        <v/>
      </c>
      <c r="G49" s="5"/>
      <c r="H49" s="8"/>
      <c r="I49" s="9" t="str">
        <f t="shared" si="8"/>
        <v/>
      </c>
      <c r="J49" s="10" t="str">
        <f t="shared" si="9"/>
        <v/>
      </c>
      <c r="K49" s="10" t="str">
        <f t="shared" si="10"/>
        <v/>
      </c>
      <c r="L49" s="9" t="str">
        <f t="shared" si="11"/>
        <v/>
      </c>
      <c r="M49" s="9" t="str">
        <f t="shared" si="12"/>
        <v/>
      </c>
      <c r="N49" s="5" t="str">
        <f t="shared" ca="1" si="13"/>
        <v/>
      </c>
      <c r="O49" s="11"/>
      <c r="P49" s="12"/>
    </row>
    <row r="50" spans="1:16" ht="21.75" hidden="1" customHeight="1" x14ac:dyDescent="0.25">
      <c r="A50" s="13">
        <v>48</v>
      </c>
      <c r="B50" s="14"/>
      <c r="C50" s="22"/>
      <c r="D50" s="16"/>
      <c r="E50" s="16"/>
      <c r="F50" s="14" t="str">
        <f t="shared" si="7"/>
        <v/>
      </c>
      <c r="G50" s="14"/>
      <c r="H50" s="17"/>
      <c r="I50" s="9" t="str">
        <f t="shared" si="8"/>
        <v/>
      </c>
      <c r="J50" s="18" t="str">
        <f t="shared" si="9"/>
        <v/>
      </c>
      <c r="K50" s="18" t="str">
        <f t="shared" si="10"/>
        <v/>
      </c>
      <c r="L50" s="9" t="str">
        <f t="shared" si="11"/>
        <v/>
      </c>
      <c r="M50" s="9" t="str">
        <f t="shared" si="12"/>
        <v/>
      </c>
      <c r="N50" s="14" t="str">
        <f t="shared" ca="1" si="13"/>
        <v/>
      </c>
      <c r="O50" s="19"/>
      <c r="P50" s="20"/>
    </row>
    <row r="51" spans="1:16" hidden="1" x14ac:dyDescent="0.25">
      <c r="A51" s="13"/>
      <c r="B51" s="14"/>
      <c r="C51" s="22"/>
      <c r="D51" s="16"/>
      <c r="E51" s="16"/>
      <c r="F51" s="14"/>
      <c r="G51" s="14"/>
      <c r="H51" s="17"/>
      <c r="I51" s="9"/>
      <c r="J51" s="18"/>
      <c r="K51" s="18"/>
      <c r="L51" s="9"/>
      <c r="M51" s="9"/>
      <c r="N51" s="14"/>
      <c r="O51" s="19"/>
      <c r="P51" s="20"/>
    </row>
    <row r="52" spans="1:16" ht="15" customHeight="1" x14ac:dyDescent="0.25">
      <c r="A52" s="38" t="s">
        <v>27</v>
      </c>
      <c r="B52" s="38"/>
      <c r="C52" s="38"/>
      <c r="D52" s="38"/>
      <c r="E52" s="38"/>
      <c r="F52" s="38"/>
      <c r="G52" s="38"/>
      <c r="H52" s="23">
        <f t="shared" ref="H52:M52" si="14">SUMIF(H3:H51,"&gt;0")</f>
        <v>3434.04</v>
      </c>
      <c r="I52" s="24">
        <f t="shared" si="14"/>
        <v>455.66255999999998</v>
      </c>
      <c r="J52" s="23">
        <f t="shared" si="14"/>
        <v>2978.3774399999998</v>
      </c>
      <c r="K52" s="23">
        <f t="shared" si="14"/>
        <v>744.59435999999994</v>
      </c>
      <c r="L52" s="24">
        <f t="shared" si="14"/>
        <v>414.30599999999998</v>
      </c>
      <c r="M52" s="24">
        <f t="shared" si="14"/>
        <v>41.356560000000002</v>
      </c>
      <c r="N52" s="25" t="str">
        <f ca="1">COUNTIF(N3:N10,"✅ Terminée")&amp;" terminée(s)"</f>
        <v>2 terminée(s)</v>
      </c>
      <c r="O52" s="26"/>
      <c r="P52" s="26"/>
    </row>
    <row r="53" spans="1:16" ht="25.5" customHeight="1" x14ac:dyDescent="0.25">
      <c r="J53" s="27">
        <f>J52-K52</f>
        <v>2233.7830799999997</v>
      </c>
    </row>
    <row r="54" spans="1:16" ht="15" customHeight="1" x14ac:dyDescent="0.25">
      <c r="A54" s="39" t="s">
        <v>28</v>
      </c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</row>
    <row r="55" spans="1:16" ht="15" customHeight="1" x14ac:dyDescent="0.25"/>
  </sheetData>
  <mergeCells count="3">
    <mergeCell ref="A1:P1"/>
    <mergeCell ref="A52:G52"/>
    <mergeCell ref="A54:P54"/>
  </mergeCells>
  <conditionalFormatting sqref="B1:B1048576">
    <cfRule type="containsText" dxfId="1" priority="2" operator="containsText" text="booking">
      <formula>NOT(ISERROR(SEARCH("booking",B1)))</formula>
    </cfRule>
    <cfRule type="containsText" dxfId="0" priority="3" operator="containsText" text="airbnb">
      <formula>NOT(ISERROR(SEARCH("airbnb",B1)))</formula>
    </cfRule>
  </conditionalFormatting>
  <dataValidations count="2">
    <dataValidation type="list" allowBlank="1" sqref="B3:B51" xr:uid="{00000000-0002-0000-0000-000000000000}">
      <formula1>"Airbnb,Booking.com,Direto"</formula1>
      <formula2>0</formula2>
    </dataValidation>
    <dataValidation type="list" allowBlank="1" sqref="O3:O51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40" t="s">
        <v>29</v>
      </c>
      <c r="B1" s="40"/>
      <c r="C1" s="40"/>
      <c r="D1" s="40"/>
    </row>
    <row r="2" spans="1:4" ht="30" customHeight="1" x14ac:dyDescent="0.25">
      <c r="A2" s="28" t="s">
        <v>30</v>
      </c>
      <c r="B2" s="28" t="s">
        <v>31</v>
      </c>
      <c r="C2" s="28" t="s">
        <v>32</v>
      </c>
      <c r="D2" s="28" t="s">
        <v>33</v>
      </c>
    </row>
    <row r="3" spans="1:4" ht="21.75" customHeight="1" x14ac:dyDescent="0.25">
      <c r="A3" s="29" t="s">
        <v>34</v>
      </c>
      <c r="B3" s="30" t="s">
        <v>35</v>
      </c>
      <c r="C3" s="30" t="s">
        <v>36</v>
      </c>
      <c r="D3" s="30" t="s">
        <v>37</v>
      </c>
    </row>
    <row r="4" spans="1:4" ht="21.75" customHeight="1" x14ac:dyDescent="0.25">
      <c r="A4" s="31"/>
      <c r="B4" s="32" t="s">
        <v>38</v>
      </c>
      <c r="C4" s="32" t="s">
        <v>39</v>
      </c>
      <c r="D4" s="32" t="s">
        <v>40</v>
      </c>
    </row>
    <row r="5" spans="1:4" ht="21.75" customHeight="1" x14ac:dyDescent="0.25">
      <c r="A5" s="33"/>
      <c r="B5" s="34"/>
      <c r="C5" s="34"/>
      <c r="D5" s="34"/>
    </row>
    <row r="6" spans="1:4" ht="21.75" customHeight="1" x14ac:dyDescent="0.25">
      <c r="A6" s="35"/>
      <c r="B6" s="36"/>
      <c r="C6" s="36"/>
      <c r="D6" s="36"/>
    </row>
    <row r="7" spans="1:4" ht="21.75" customHeight="1" x14ac:dyDescent="0.25">
      <c r="A7" s="33"/>
      <c r="B7" s="34"/>
      <c r="C7" s="34"/>
      <c r="D7" s="34"/>
    </row>
    <row r="8" spans="1:4" ht="21.75" customHeight="1" x14ac:dyDescent="0.25">
      <c r="A8" s="35"/>
      <c r="B8" s="36"/>
      <c r="C8" s="36"/>
      <c r="D8" s="36"/>
    </row>
    <row r="9" spans="1:4" ht="21.75" customHeight="1" x14ac:dyDescent="0.25">
      <c r="A9" s="33"/>
      <c r="B9" s="34"/>
      <c r="C9" s="34"/>
      <c r="D9" s="34"/>
    </row>
    <row r="10" spans="1:4" ht="21.75" customHeight="1" x14ac:dyDescent="0.25">
      <c r="A10" s="35"/>
      <c r="B10" s="36"/>
      <c r="C10" s="36"/>
      <c r="D10" s="36"/>
    </row>
    <row r="11" spans="1:4" ht="21.75" customHeight="1" x14ac:dyDescent="0.25">
      <c r="A11" s="33"/>
      <c r="B11" s="34"/>
      <c r="C11" s="34"/>
      <c r="D11" s="34"/>
    </row>
    <row r="12" spans="1:4" ht="21.75" customHeight="1" x14ac:dyDescent="0.25">
      <c r="A12" s="35"/>
      <c r="B12" s="36"/>
      <c r="C12" s="36"/>
      <c r="D12" s="36"/>
    </row>
    <row r="13" spans="1:4" ht="21.75" customHeight="1" x14ac:dyDescent="0.25">
      <c r="A13" s="33"/>
      <c r="B13" s="34"/>
      <c r="C13" s="34"/>
      <c r="D13" s="34"/>
    </row>
    <row r="14" spans="1:4" ht="21.75" customHeight="1" x14ac:dyDescent="0.25">
      <c r="A14" s="35"/>
      <c r="B14" s="36"/>
      <c r="C14" s="36"/>
      <c r="D14" s="36"/>
    </row>
    <row r="15" spans="1:4" ht="21.75" customHeight="1" x14ac:dyDescent="0.25">
      <c r="A15" s="33"/>
      <c r="B15" s="34"/>
      <c r="C15" s="34"/>
      <c r="D15" s="34"/>
    </row>
    <row r="16" spans="1:4" ht="21.75" customHeight="1" x14ac:dyDescent="0.25">
      <c r="A16" s="35"/>
      <c r="B16" s="36"/>
      <c r="C16" s="36"/>
      <c r="D16" s="36"/>
    </row>
    <row r="17" spans="1:4" ht="21.75" customHeight="1" x14ac:dyDescent="0.25">
      <c r="A17" s="33"/>
      <c r="B17" s="34"/>
      <c r="C17" s="34"/>
      <c r="D17" s="34"/>
    </row>
    <row r="18" spans="1:4" ht="21.75" customHeight="1" x14ac:dyDescent="0.25">
      <c r="A18" s="35"/>
      <c r="B18" s="36"/>
      <c r="C18" s="36"/>
      <c r="D18" s="36"/>
    </row>
    <row r="19" spans="1:4" ht="21.75" customHeight="1" x14ac:dyDescent="0.25">
      <c r="A19" s="33"/>
      <c r="B19" s="34"/>
      <c r="C19" s="34"/>
      <c r="D19" s="34"/>
    </row>
    <row r="20" spans="1:4" ht="21.75" customHeight="1" x14ac:dyDescent="0.25">
      <c r="A20" s="35"/>
      <c r="B20" s="36"/>
      <c r="C20" s="36"/>
      <c r="D20" s="36"/>
    </row>
    <row r="21" spans="1:4" ht="21.75" customHeight="1" x14ac:dyDescent="0.25">
      <c r="A21" s="33"/>
      <c r="B21" s="34"/>
      <c r="C21" s="34"/>
      <c r="D21" s="34"/>
    </row>
    <row r="22" spans="1:4" ht="21.75" customHeight="1" x14ac:dyDescent="0.25">
      <c r="A22" s="35"/>
      <c r="B22" s="36"/>
      <c r="C22" s="36"/>
      <c r="D22" s="36"/>
    </row>
    <row r="23" spans="1:4" ht="21.75" customHeight="1" x14ac:dyDescent="0.25">
      <c r="A23" s="33"/>
      <c r="B23" s="34"/>
      <c r="C23" s="34"/>
      <c r="D23" s="34"/>
    </row>
    <row r="24" spans="1:4" ht="21.75" customHeight="1" x14ac:dyDescent="0.25">
      <c r="A24" s="35"/>
      <c r="B24" s="36"/>
      <c r="C24" s="36"/>
      <c r="D24" s="36"/>
    </row>
    <row r="25" spans="1:4" ht="21.75" customHeight="1" x14ac:dyDescent="0.25">
      <c r="A25" s="33"/>
      <c r="B25" s="34"/>
      <c r="C25" s="34"/>
      <c r="D25" s="34"/>
    </row>
    <row r="26" spans="1:4" ht="21.75" customHeight="1" x14ac:dyDescent="0.25">
      <c r="A26" s="35"/>
      <c r="B26" s="36"/>
      <c r="C26" s="36"/>
      <c r="D26" s="36"/>
    </row>
    <row r="27" spans="1:4" ht="21.75" customHeight="1" x14ac:dyDescent="0.25">
      <c r="A27" s="33"/>
      <c r="B27" s="34"/>
      <c r="C27" s="34"/>
      <c r="D27" s="34"/>
    </row>
    <row r="28" spans="1:4" ht="21.75" customHeight="1" x14ac:dyDescent="0.25">
      <c r="A28" s="35"/>
      <c r="B28" s="36"/>
      <c r="C28" s="36"/>
      <c r="D28" s="36"/>
    </row>
    <row r="29" spans="1:4" ht="21.75" customHeight="1" x14ac:dyDescent="0.25">
      <c r="A29" s="33"/>
      <c r="B29" s="34"/>
      <c r="C29" s="34"/>
      <c r="D29" s="34"/>
    </row>
    <row r="30" spans="1:4" ht="21.75" customHeight="1" x14ac:dyDescent="0.25">
      <c r="A30" s="35"/>
      <c r="B30" s="36"/>
      <c r="C30" s="36"/>
      <c r="D30" s="36"/>
    </row>
    <row r="31" spans="1:4" ht="21.75" customHeight="1" x14ac:dyDescent="0.25">
      <c r="A31" s="33"/>
      <c r="B31" s="34"/>
      <c r="C31" s="34"/>
      <c r="D31" s="34"/>
    </row>
    <row r="32" spans="1:4" ht="21.75" customHeight="1" x14ac:dyDescent="0.25">
      <c r="A32" s="35"/>
      <c r="B32" s="36"/>
      <c r="C32" s="36"/>
      <c r="D32" s="36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📋 Réservations</vt:lpstr>
      <vt:lpstr>📓 Bloc-notes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2026-03-14T18:13:00Z</dcterms:modified>
  <dc:language>en-US</dc:language>
</cp:coreProperties>
</file>