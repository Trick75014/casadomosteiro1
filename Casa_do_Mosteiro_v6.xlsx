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A39AB832-5E40-4D9C-BCBE-D298A4767FF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0" i="1" l="1"/>
  <c r="K50" i="1"/>
  <c r="F50" i="1"/>
  <c r="N51" i="1"/>
  <c r="M51" i="1"/>
  <c r="L51" i="1"/>
  <c r="J51" i="1"/>
  <c r="K51" i="1" s="1"/>
  <c r="I51" i="1"/>
  <c r="F51" i="1"/>
  <c r="H52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J17" i="1"/>
  <c r="K17" i="1" s="1"/>
  <c r="I17" i="1"/>
  <c r="F17" i="1"/>
  <c r="N16" i="1"/>
  <c r="M16" i="1"/>
  <c r="L16" i="1"/>
  <c r="J16" i="1"/>
  <c r="K16" i="1" s="1"/>
  <c r="I16" i="1"/>
  <c r="F16" i="1"/>
  <c r="N15" i="1"/>
  <c r="M15" i="1"/>
  <c r="L15" i="1"/>
  <c r="J15" i="1"/>
  <c r="K15" i="1" s="1"/>
  <c r="I15" i="1"/>
  <c r="F15" i="1"/>
  <c r="N14" i="1"/>
  <c r="M14" i="1"/>
  <c r="L14" i="1"/>
  <c r="J14" i="1"/>
  <c r="K14" i="1" s="1"/>
  <c r="I14" i="1"/>
  <c r="F14" i="1"/>
  <c r="N13" i="1"/>
  <c r="M13" i="1"/>
  <c r="L13" i="1"/>
  <c r="J13" i="1"/>
  <c r="K13" i="1" s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<sst xmlns="http://schemas.openxmlformats.org/spreadsheetml/2006/main" count="71" uniqueCount="58">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</sst>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="101" zoomScaleNormal="100" workbookViewId="0">
      <pane ySplit="2" topLeftCell="A3" activePane="bottomLeft" state="frozen"/>
      <selection pane="bottomLeft" activeCell="L66" sqref="L66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🟡 En cours</v>
      </c>
      <c r="O3" s="11" t="s">
        <v>40</v>
      </c>
      <c r="P3" s="12" t="s">
        <v>44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41</v>
      </c>
      <c r="P4" s="20" t="s">
        <v>45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42</v>
      </c>
      <c r="P5" s="12" t="s">
        <v>46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41</v>
      </c>
      <c r="P6" s="20" t="s">
        <v>47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42</v>
      </c>
      <c r="P7" s="12" t="s">
        <v>48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40</v>
      </c>
      <c r="P8" s="20" t="s">
        <v>49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43</v>
      </c>
      <c r="P9" s="12" t="s">
        <v>50</v>
      </c>
    </row>
    <row r="10" spans="1:16" x14ac:dyDescent="0.25">
      <c r="A10" s="13">
        <v>8</v>
      </c>
      <c r="B10" s="14" t="s">
        <v>20</v>
      </c>
      <c r="C10" s="22" t="s">
        <v>51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41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0" si="7">IF(AND(D35&lt;&gt;"",E35&lt;&gt;""),E35-D35,"")</f>
        <v/>
      </c>
      <c r="G35" s="5"/>
      <c r="H35" s="8"/>
      <c r="I35" s="9" t="str">
        <f t="shared" ref="I35:I49" si="8">IF(B35="Direto","",IF(B35="Airbnb",IF(H35&lt;&gt;"",H35*0.03+H35*0.03*0.2,""),IF(B35="Booking.com",IF(H35&lt;&gt;"",H35*0.15+H35*0.014,""),"")))</f>
        <v/>
      </c>
      <c r="J35" s="10" t="str">
        <f t="shared" ref="J35:J49" si="9">IF(B35="Direto",IF(H35&lt;&gt;"",H35,""),IF(H35&lt;&gt;"",H35-IF(I35&lt;&gt;"",I35,0),""))</f>
        <v/>
      </c>
      <c r="K35" s="10" t="str">
        <f t="shared" ref="K35:K50" si="10">IF(J35&lt;&gt;"",J35*0.25,"")</f>
        <v/>
      </c>
      <c r="L35" s="9" t="str">
        <f t="shared" ref="L35:L49" si="11">IF(B35="Airbnb",IF(H35&lt;&gt;"",H35*0.03,""),IF(B35="Booking.com",IF(H35&lt;&gt;"",H35*0.15,""),""))</f>
        <v/>
      </c>
      <c r="M35" s="9" t="str">
        <f t="shared" ref="M35:M49" si="12">IF(B35="Airbnb",IF(L35&lt;&gt;"",L35*0.2,""),IF(B35="Booking.com",IF(H35&lt;&gt;"",H35*0.014,""),""))</f>
        <v/>
      </c>
      <c r="N35" s="5" t="str">
        <f t="shared" ref="N35:N50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x14ac:dyDescent="0.25">
      <c r="A50" s="13">
        <v>9</v>
      </c>
      <c r="B50" s="14" t="s">
        <v>55</v>
      </c>
      <c r="C50" s="22" t="s">
        <v>56</v>
      </c>
      <c r="D50" s="16">
        <v>46175</v>
      </c>
      <c r="E50" s="16">
        <v>46178</v>
      </c>
      <c r="F50" s="14">
        <f t="shared" si="7"/>
        <v>3</v>
      </c>
      <c r="G50" s="14">
        <v>5</v>
      </c>
      <c r="H50" s="17">
        <v>364.5</v>
      </c>
      <c r="I50" s="9"/>
      <c r="J50" s="18">
        <v>328.67</v>
      </c>
      <c r="K50" s="18">
        <f t="shared" si="10"/>
        <v>82.167500000000004</v>
      </c>
      <c r="L50" s="9"/>
      <c r="M50" s="9"/>
      <c r="N50" s="14" t="str">
        <f t="shared" ca="1" si="13"/>
        <v>🔵 À venir</v>
      </c>
      <c r="O50" s="19" t="s">
        <v>41</v>
      </c>
      <c r="P50" s="20" t="s">
        <v>57</v>
      </c>
    </row>
    <row r="51" spans="1:16" x14ac:dyDescent="0.25">
      <c r="A51" s="13">
        <v>10</v>
      </c>
      <c r="B51" s="14" t="s">
        <v>53</v>
      </c>
      <c r="C51" s="22" t="s">
        <v>54</v>
      </c>
      <c r="D51" s="16">
        <v>46143</v>
      </c>
      <c r="E51" s="16">
        <v>46144</v>
      </c>
      <c r="F51" s="14">
        <f t="shared" ref="F51" si="14">IF(AND(D51&lt;&gt;"",E51&lt;&gt;""),E51-D51,"")</f>
        <v>1</v>
      </c>
      <c r="G51" s="14">
        <v>3</v>
      </c>
      <c r="H51" s="17">
        <v>130</v>
      </c>
      <c r="I51" s="9" t="str">
        <f t="shared" ref="I51" si="15">IF(B51="Direto","",IF(B51="Airbnb",IF(H51&lt;&gt;"",H51*0.03+H51*0.03*0.2,""),IF(B51="Booking.com",IF(H51&lt;&gt;"",H51*0.15+H51*0.014,""),"")))</f>
        <v/>
      </c>
      <c r="J51" s="18">
        <f t="shared" ref="J51" si="16">IF(B51="Direto",IF(H51&lt;&gt;"",H51,""),IF(H51&lt;&gt;"",H51-IF(I51&lt;&gt;"",I51,0),""))</f>
        <v>130</v>
      </c>
      <c r="K51" s="18">
        <f t="shared" ref="K51" si="17">IF(J51&lt;&gt;"",J51*0.25,"")</f>
        <v>32.5</v>
      </c>
      <c r="L51" s="9" t="str">
        <f t="shared" ref="L51" si="18">IF(B51="Airbnb",IF(H51&lt;&gt;"",H51*0.03,""),IF(B51="Booking.com",IF(H51&lt;&gt;"",H51*0.15,""),""))</f>
        <v/>
      </c>
      <c r="M51" s="9" t="str">
        <f t="shared" ref="M51" si="19">IF(B51="Airbnb",IF(L51&lt;&gt;"",L51*0.2,""),IF(B51="Booking.com",IF(H51&lt;&gt;"",H51*0.014,""),""))</f>
        <v/>
      </c>
      <c r="N51" s="14" t="str">
        <f t="shared" ref="N51" ca="1" si="20">IF(D51="","",IF(E51&lt;TODAY(),"✅ Terminée",IF(D51&lt;=TODAY(),"🟡 En cours","🔵 À venir")))</f>
        <v>🔵 À venir</v>
      </c>
      <c r="O51" s="19" t="s">
        <v>41</v>
      </c>
      <c r="P51" s="20" t="s">
        <v>52</v>
      </c>
    </row>
    <row r="52" spans="1:16" ht="15" customHeight="1" x14ac:dyDescent="0.25">
      <c r="A52" s="39" t="s">
        <v>26</v>
      </c>
      <c r="B52" s="39"/>
      <c r="C52" s="39"/>
      <c r="D52" s="39"/>
      <c r="E52" s="39"/>
      <c r="F52" s="39"/>
      <c r="G52" s="39"/>
      <c r="H52" s="23">
        <f t="shared" ref="H52:M52" si="21">SUMIF(H3:H51,"&gt;0")</f>
        <v>3598.54</v>
      </c>
      <c r="I52" s="24">
        <f t="shared" si="21"/>
        <v>401.54255999999998</v>
      </c>
      <c r="J52" s="23">
        <f t="shared" si="21"/>
        <v>3103.3274399999996</v>
      </c>
      <c r="K52" s="23">
        <f t="shared" si="21"/>
        <v>775.83185999999989</v>
      </c>
      <c r="L52" s="24">
        <f t="shared" si="21"/>
        <v>364.80599999999998</v>
      </c>
      <c r="M52" s="24">
        <f t="shared" si="21"/>
        <v>36.736560000000004</v>
      </c>
      <c r="N52" s="25" t="str">
        <f ca="1">COUNTIF(N3:N10,"✅ Terminée")&amp;" terminée(s)"</f>
        <v>3 terminée(s)</v>
      </c>
      <c r="O52" s="26"/>
      <c r="P52" s="26"/>
    </row>
    <row r="53" spans="1:16" ht="25.5" customHeight="1" x14ac:dyDescent="0.25">
      <c r="J53" s="27">
        <f>J52-K52</f>
        <v>2327.4955799999998</v>
      </c>
    </row>
    <row r="54" spans="1:16" ht="15" customHeight="1" x14ac:dyDescent="0.25">
      <c r="A54" s="40" t="s">
        <v>27</v>
      </c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1" t="s">
        <v>28</v>
      </c>
      <c r="B1" s="41"/>
      <c r="C1" s="41"/>
      <c r="D1" s="41"/>
    </row>
    <row r="2" spans="1:4" ht="30" customHeight="1" x14ac:dyDescent="0.25">
      <c r="A2" s="28" t="s">
        <v>29</v>
      </c>
      <c r="B2" s="28" t="s">
        <v>30</v>
      </c>
      <c r="C2" s="28" t="s">
        <v>31</v>
      </c>
      <c r="D2" s="28" t="s">
        <v>32</v>
      </c>
    </row>
    <row r="3" spans="1:4" ht="21.75" customHeight="1" x14ac:dyDescent="0.25">
      <c r="A3" s="29" t="s">
        <v>33</v>
      </c>
      <c r="B3" s="30" t="s">
        <v>34</v>
      </c>
      <c r="C3" s="30" t="s">
        <v>35</v>
      </c>
      <c r="D3" s="30" t="s">
        <v>36</v>
      </c>
    </row>
    <row r="4" spans="1:4" ht="21.75" customHeight="1" x14ac:dyDescent="0.25">
      <c r="A4" s="31"/>
      <c r="B4" s="32" t="s">
        <v>37</v>
      </c>
      <c r="C4" s="32" t="s">
        <v>38</v>
      </c>
      <c r="D4" s="32" t="s">
        <v>39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2026-04-05T08:30:09Z</dcterms:modified>
  <dc:language>en-US</dc:language>
</cp:coreProperties>
</file>