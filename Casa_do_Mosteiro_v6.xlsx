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E21ED32D-EC58-4548-8EAD-3F03B04EA021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9" i="1" l="1"/>
  <c r="K19" i="1" s="1"/>
  <c r="F16" i="1"/>
  <c r="I16" i="1"/>
  <c r="J16" i="1" s="1"/>
  <c r="K16" i="1" s="1"/>
  <c r="L16" i="1"/>
  <c r="M16" i="1"/>
  <c r="N16" i="1"/>
  <c r="F17" i="1"/>
  <c r="I17" i="1"/>
  <c r="J17" i="1" s="1"/>
  <c r="K17" i="1" s="1"/>
  <c r="L17" i="1"/>
  <c r="M17" i="1"/>
  <c r="N17" i="1"/>
  <c r="K14" i="1"/>
  <c r="N13" i="1"/>
  <c r="M13" i="1"/>
  <c r="L13" i="1"/>
  <c r="I13" i="1"/>
  <c r="J13" i="1" s="1"/>
  <c r="K13" i="1" s="1"/>
  <c r="F13" i="1"/>
  <c r="N11" i="1"/>
  <c r="M11" i="1"/>
  <c r="L11" i="1"/>
  <c r="I11" i="1"/>
  <c r="J11" i="1" s="1"/>
  <c r="K11" i="1" s="1"/>
  <c r="F11" i="1"/>
  <c r="N12" i="1"/>
  <c r="M12" i="1"/>
  <c r="L12" i="1"/>
  <c r="I12" i="1"/>
  <c r="J12" i="1" s="1"/>
  <c r="K12" i="1" s="1"/>
  <c r="F12" i="1"/>
  <c r="N14" i="1"/>
  <c r="F14" i="1"/>
  <c r="N15" i="1"/>
  <c r="M15" i="1"/>
  <c r="L15" i="1"/>
  <c r="J15" i="1"/>
  <c r="K15" i="1" s="1"/>
  <c r="I15" i="1"/>
  <c r="F15" i="1"/>
  <c r="H51" i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J29" i="1"/>
  <c r="K29" i="1" s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J25" i="1"/>
  <c r="K25" i="1" s="1"/>
  <c r="I25" i="1"/>
  <c r="F25" i="1"/>
  <c r="N24" i="1"/>
  <c r="M24" i="1"/>
  <c r="L24" i="1"/>
  <c r="J24" i="1"/>
  <c r="K24" i="1" s="1"/>
  <c r="I24" i="1"/>
  <c r="F24" i="1"/>
  <c r="N23" i="1"/>
  <c r="M23" i="1"/>
  <c r="L23" i="1"/>
  <c r="J23" i="1"/>
  <c r="K23" i="1" s="1"/>
  <c r="I23" i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I21" i="1"/>
  <c r="F21" i="1"/>
  <c r="N20" i="1"/>
  <c r="M20" i="1"/>
  <c r="L20" i="1"/>
  <c r="I20" i="1"/>
  <c r="J20" i="1" s="1"/>
  <c r="K20" i="1" s="1"/>
  <c r="F20" i="1"/>
  <c r="N19" i="1"/>
  <c r="M19" i="1"/>
  <c r="L19" i="1"/>
  <c r="I19" i="1"/>
  <c r="F19" i="1"/>
  <c r="N18" i="1"/>
  <c r="L18" i="1"/>
  <c r="M18" i="1" s="1"/>
  <c r="I18" i="1"/>
  <c r="J18" i="1" s="1"/>
  <c r="K18" i="1" s="1"/>
  <c r="F18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L3" i="1"/>
  <c r="M3" i="1" s="1"/>
  <c r="I3" i="1"/>
  <c r="J3" i="1" s="1"/>
  <c r="F3" i="1"/>
  <c r="M51" i="1" l="1"/>
  <c r="L51" i="1"/>
  <c r="N51" i="1"/>
  <c r="K3" i="1"/>
  <c r="K51" i="1" s="1"/>
  <c r="J51" i="1"/>
  <c r="I51" i="1"/>
  <c r="J52" i="1" l="1"/>
  <c r="J54" i="1" s="1"/>
</calcChain>
</file>

<file path=xl/sharedStrings.xml><?xml version="1.0" encoding="utf-8"?>
<sst xmlns="http://schemas.openxmlformats.org/spreadsheetml/2006/main" count="103" uniqueCount="73">
  <si>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</si>
  <si>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</si>
  <si>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</si>
  <si>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</si>
  <si>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</si>
  <si>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</si>
  <si>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</si>
  <si>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</si>
  <si>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</si>
  <si>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</si>
  <si>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</si>
  <si>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</si>
  <si>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</si>
  <si>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</si>
  <si>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</si>
  <si>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</si>
  <si>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</si>
  <si>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</si>
  <si>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</si>
  <si>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</si>
  <si>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</si>
  <si>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</si>
  <si>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</si>
  <si>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</si>
  <si>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</si>
  <si>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</si>
  <si>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</si>
  <si>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</si>
  <si>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</si>
  <si>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</si>
  <si>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</si>
  <si>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</si>
  <si>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</si>
  <si>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</si>
  <si>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</si>
  <si>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</si>
  <si>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</si>
  <si>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</si>
  <si>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</si>
  <si>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</si>
  <si>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</si>
  <si>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</si>
  <si>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</si>
  <si>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</si>
  <si>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</si>
  <si>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</si>
  <si>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</si>
  <si>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</si>
  <si>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</si>
  <si>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</si>
  <si>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</si>
  <si>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</si>
  <si>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</si>
  <si>
    <t>Abritel</t>
  </si>
  <si>
    <t>Bruno Sousa</t>
  </si>
  <si>
    <t>0623755787</t>
  </si>
  <si>
    <t>Ana Isabel Bechaud</t>
  </si>
  <si>
    <t>0619814951</t>
  </si>
  <si>
    <t>Juan Neira Conde</t>
  </si>
  <si>
    <t>0034675633865</t>
  </si>
  <si>
    <t>Dulce Morais</t>
  </si>
  <si>
    <t>00351936282687</t>
  </si>
  <si>
    <t>Eva Fernandez Losada</t>
  </si>
  <si>
    <t>Alex Sandro Moreira</t>
  </si>
  <si>
    <t>Pedro Joao Rodrigues</t>
  </si>
  <si>
    <t>+393463256052</t>
  </si>
  <si>
    <t>+351960070755</t>
  </si>
  <si>
    <t>Adelina Neves</t>
  </si>
  <si>
    <t>+351935023820</t>
  </si>
  <si>
    <t>Y</t>
  </si>
  <si>
    <t>y</t>
  </si>
  <si>
    <t>Sandrine Brahiti</t>
  </si>
  <si>
    <t>0650464553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</si>
</sst>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4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2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13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DFAF6"/>
        <name val="Arial"/>
        <charset val="1"/>
        <scheme val="none"/>
      </font>
      <fill>
        <patternFill patternType="solid">
          <fgColor rgb="FFA85A3A"/>
          <bgColor rgb="FFC2714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85A3A"/>
        </left>
        <right style="thin">
          <color rgb="FFA85A3A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313CAB-7AD2-4EDB-930F-5D65625B6D2B}" name="Tableau1" displayName="Tableau1" ref="A2:P51" totalsRowShown="0" headerRowDxfId="12">
  <autoFilter ref="A2:P51" xr:uid="{F2313CAB-7AD2-4EDB-930F-5D65625B6D2B}"/>
  <tableColumns count="16">
    <tableColumn id="1" xr3:uid="{AC60970B-A2FC-4DDF-A9CC-349A2480743F}" name="N°"/>
    <tableColumn id="2" xr3:uid="{D1C29AA2-7371-49D7-A3A3-4422D13F1388}" name="Plateforme"/>
    <tableColumn id="3" xr3:uid="{B122446C-E3FE-40E2-87A7-AB4899728B1C}" name="Voyageur"/>
    <tableColumn id="4" xr3:uid="{97208B29-BAB5-42E9-B831-9D4590177054}" name="Arrivée"/>
    <tableColumn id="5" xr3:uid="{D3FE3381-C4B8-498F-A625-9962CB8A6588}" name="Départ"/>
    <tableColumn id="6" xr3:uid="{597E1DA1-8BEB-4388-9DEE-46070032A16C}" name="Nuits" dataDxfId="11"/>
    <tableColumn id="7" xr3:uid="{FB4B88CE-AF8F-4750-B8B0-B7F7393E68C9}" name="Personnes"/>
    <tableColumn id="8" xr3:uid="{5D9F9F94-AD5D-4170-9B0D-1889D7F3F70D}" name="Prix brut (€)" dataDxfId="10"/>
    <tableColumn id="9" xr3:uid="{E2297A44-4273-4BA7-878E-97F599090065}" name="Frais plate. (€) 🔒" dataDxfId="9"/>
    <tableColumn id="10" xr3:uid="{CFAAEAA3-2982-40AF-B875-EE881355E43E}" name="Net reçu (€)" dataDxfId="8"/>
    <tableColumn id="11" xr3:uid="{B8A370C8-5D57-48C1-8BE6-3A2B5ACFB5DD}" name="Gloria 25% (€)" dataDxfId="7"/>
    <tableColumn id="12" xr3:uid="{596F80C5-7E4A-4CD8-9C07-871967C53D6A}" name="Commission (€) 🔒" dataDxfId="6"/>
    <tableColumn id="13" xr3:uid="{EB1AD7D4-C5F7-417D-9953-52A1CF811051}" name="TVA / Fr.banc. (€) 🔒" dataDxfId="5"/>
    <tableColumn id="14" xr3:uid="{DE0D1F8C-57FF-492D-BFE6-FE4E7A8BEABC}" name="Statut" dataDxfId="4"/>
    <tableColumn id="15" xr3:uid="{8C802233-1B0A-46BB-A281-14B1BE490844}" name="Hora de chegada" dataDxfId="3"/>
    <tableColumn id="16" xr3:uid="{0737B9E8-1278-4EF0-9A9B-3B9B8DE56851}" name="Telefon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4"/>
  <sheetViews>
    <sheetView showGridLines="0" tabSelected="1" zoomScale="101" zoomScaleNormal="100" workbookViewId="0">
      <pane ySplit="2" topLeftCell="A3" activePane="bottomLeft" state="frozen"/>
      <selection pane="bottomLeft" activeCell="J52" sqref="J52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2.42578125" customWidth="1"/>
    <col min="8" max="8" width="14" customWidth="1"/>
    <col min="9" max="9" width="17.140625" customWidth="1"/>
    <col min="10" max="10" width="14" customWidth="1"/>
    <col min="11" max="11" width="16" customWidth="1"/>
    <col min="12" max="12" width="18.42578125" customWidth="1"/>
    <col min="13" max="13" width="19.28515625" customWidth="1"/>
    <col min="14" max="14" width="14" customWidth="1"/>
    <col min="15" max="15" width="18.5703125" customWidth="1"/>
    <col min="16" max="16" width="16" customWidth="1"/>
  </cols>
  <sheetData>
    <row r="1" spans="1:16" ht="36" customHeight="1" x14ac:dyDescent="0.25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5" si="0">IF(AND(D3&lt;&gt;"",E3&lt;&gt;""),E3-D3,"")</f>
        <v>4</v>
      </c>
      <c r="G3" s="5">
        <v>5</v>
      </c>
      <c r="H3" s="8">
        <v>540</v>
      </c>
      <c r="I3" s="9">
        <f t="shared" ref="I3:I35" si="1">IF(B3="Direto","",IF(B3="Airbnb",IF(H3&lt;&gt;"",H3*0.03+H3*0.03*0.2,""),IF(B3="Booking.com",IF(H3&lt;&gt;"",H3*0.15+H3*0.014,""),"")))</f>
        <v>19.439999999999998</v>
      </c>
      <c r="J3" s="10">
        <f t="shared" ref="J3:J35" si="2">IF(B3="Direto",IF(H3&lt;&gt;"",H3,""),IF(H3&lt;&gt;"",H3-IF(I3&lt;&gt;"",I3,0),""))</f>
        <v>520.55999999999995</v>
      </c>
      <c r="K3" s="10">
        <f t="shared" ref="K3:K35" si="3">IF(J3&lt;&gt;"",J3*0.25,"")</f>
        <v>130.13999999999999</v>
      </c>
      <c r="L3" s="9">
        <f t="shared" ref="L3:L35" si="4">IF(B3="Airbnb",IF(H3&lt;&gt;"",H3*0.03,""),IF(B3="Booking.com",IF(H3&lt;&gt;"",H3*0.15,""),""))</f>
        <v>16.2</v>
      </c>
      <c r="M3" s="9">
        <f t="shared" ref="M3:M35" si="5">IF(B3="Airbnb",IF(L3&lt;&gt;"",L3*0.2,""),IF(B3="Booking.com",IF(H3&lt;&gt;"",H3*0.014,""),""))</f>
        <v>3.24</v>
      </c>
      <c r="N3" s="5" t="str">
        <f t="shared" ref="N3:N35" ca="1" si="6">IF(D3="","",IF(E3&lt;TODAY(),"✅ Terminée",IF(D3&lt;=TODAY(),"🟡 En cours","🔵 À venir")))</f>
        <v>✅ Terminée</v>
      </c>
      <c r="O3" s="11" t="s">
        <v>38</v>
      </c>
      <c r="P3" s="12" t="s">
        <v>42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37">
        <v>231.36</v>
      </c>
      <c r="K4" s="18">
        <f t="shared" si="3"/>
        <v>57.84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39</v>
      </c>
      <c r="P4" s="20" t="s">
        <v>43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✅ Terminée</v>
      </c>
      <c r="O5" s="11" t="s">
        <v>40</v>
      </c>
      <c r="P5" s="12" t="s">
        <v>44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39</v>
      </c>
      <c r="P6" s="20" t="s">
        <v>45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40</v>
      </c>
      <c r="P7" s="12" t="s">
        <v>46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✅ Terminée</v>
      </c>
      <c r="O8" s="19" t="s">
        <v>38</v>
      </c>
      <c r="P8" s="20" t="s">
        <v>47</v>
      </c>
    </row>
    <row r="9" spans="1:16" ht="21.75" customHeight="1" x14ac:dyDescent="0.25">
      <c r="A9" s="4">
        <v>7</v>
      </c>
      <c r="B9" s="5" t="s">
        <v>20</v>
      </c>
      <c r="C9" s="21" t="s">
        <v>62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✅ Terminée</v>
      </c>
      <c r="O9" s="11" t="s">
        <v>41</v>
      </c>
      <c r="P9" s="12" t="s">
        <v>48</v>
      </c>
    </row>
    <row r="10" spans="1:16" x14ac:dyDescent="0.25">
      <c r="A10" s="13">
        <v>8</v>
      </c>
      <c r="B10" s="14" t="s">
        <v>20</v>
      </c>
      <c r="C10" s="22" t="s">
        <v>49</v>
      </c>
      <c r="D10" s="16">
        <v>46185</v>
      </c>
      <c r="E10" s="16">
        <v>46187</v>
      </c>
      <c r="F10" s="14">
        <f t="shared" si="0"/>
        <v>2</v>
      </c>
      <c r="G10" s="14">
        <v>3</v>
      </c>
      <c r="H10" s="17">
        <v>270</v>
      </c>
      <c r="I10" s="9">
        <f t="shared" si="1"/>
        <v>44.28</v>
      </c>
      <c r="J10" s="18">
        <f t="shared" si="2"/>
        <v>225.72</v>
      </c>
      <c r="K10" s="18">
        <f t="shared" si="3"/>
        <v>56.43</v>
      </c>
      <c r="L10" s="9">
        <f t="shared" si="4"/>
        <v>40.5</v>
      </c>
      <c r="M10" s="9">
        <f t="shared" si="5"/>
        <v>3.7800000000000002</v>
      </c>
      <c r="N10" s="14" t="str">
        <f t="shared" ca="1" si="6"/>
        <v>🔵 À venir</v>
      </c>
      <c r="O10" s="19" t="s">
        <v>39</v>
      </c>
      <c r="P10" s="20" t="s">
        <v>50</v>
      </c>
    </row>
    <row r="11" spans="1:16" ht="21.75" customHeight="1" x14ac:dyDescent="0.25">
      <c r="A11" s="4">
        <v>9</v>
      </c>
      <c r="B11" s="5" t="s">
        <v>20</v>
      </c>
      <c r="C11" s="21" t="s">
        <v>58</v>
      </c>
      <c r="D11" s="7">
        <v>46297</v>
      </c>
      <c r="E11" s="7">
        <v>46299</v>
      </c>
      <c r="F11" s="14">
        <f>IF(AND(D11&lt;&gt;"",E11&lt;&gt;""),E11-D11,"")</f>
        <v>2</v>
      </c>
      <c r="G11" s="5">
        <v>6</v>
      </c>
      <c r="H11" s="17">
        <v>270</v>
      </c>
      <c r="I11" s="9">
        <f>IF(B11="Direto","",IF(B11="Airbnb",IF(H11&lt;&gt;"",H11*0.03+H11*0.03*0.2,""),IF(B11="Booking.com",IF(H11&lt;&gt;"",H11*0.15+H11*0.014,""),"")))</f>
        <v>44.28</v>
      </c>
      <c r="J11" s="18">
        <f>IF(B11="Direto",IF(H11&lt;&gt;"",H11,""),IF(H11&lt;&gt;"",H11-IF(I11&lt;&gt;"",I11,0),""))</f>
        <v>225.72</v>
      </c>
      <c r="K11" s="18">
        <f>IF(J11&lt;&gt;"",J11*0.25,"")</f>
        <v>56.43</v>
      </c>
      <c r="L11" s="9">
        <f>IF(B11="Airbnb",IF(H11&lt;&gt;"",H11*0.03,""),IF(B11="Booking.com",IF(H11&lt;&gt;"",H11*0.15,""),""))</f>
        <v>40.5</v>
      </c>
      <c r="M11" s="9">
        <f>IF(B11="Airbnb",IF(L11&lt;&gt;"",L11*0.2,""),IF(B11="Booking.com",IF(H11&lt;&gt;"",H11*0.014,""),""))</f>
        <v>3.7800000000000002</v>
      </c>
      <c r="N11" s="14" t="str">
        <f ca="1">IF(D11="","",IF(E11&lt;TODAY(),"✅ Terminée",IF(D11&lt;=TODAY(),"🟡 En cours","🔵 À venir")))</f>
        <v>🔵 À venir</v>
      </c>
      <c r="O11" s="19" t="s">
        <v>39</v>
      </c>
      <c r="P11" s="20" t="s">
        <v>59</v>
      </c>
    </row>
    <row r="12" spans="1:16" ht="21.75" customHeight="1" x14ac:dyDescent="0.25">
      <c r="A12" s="13">
        <v>10</v>
      </c>
      <c r="B12" s="5" t="s">
        <v>20</v>
      </c>
      <c r="C12" s="21" t="s">
        <v>56</v>
      </c>
      <c r="D12" s="7">
        <v>46236</v>
      </c>
      <c r="E12" s="7">
        <v>46240</v>
      </c>
      <c r="F12" s="14">
        <f>IF(AND(D12&lt;&gt;"",E12&lt;&gt;""),E12-D12,"")</f>
        <v>4</v>
      </c>
      <c r="G12" s="5">
        <v>2</v>
      </c>
      <c r="H12" s="17">
        <v>540</v>
      </c>
      <c r="I12" s="9">
        <f>IF(B12="Direto","",IF(B12="Airbnb",IF(H12&lt;&gt;"",H12*0.03+H12*0.03*0.2,""),IF(B12="Booking.com",IF(H12&lt;&gt;"",H12*0.15+H12*0.014,""),"")))</f>
        <v>88.56</v>
      </c>
      <c r="J12" s="18">
        <f>IF(B12="Direto",IF(H12&lt;&gt;"",H12,""),IF(H12&lt;&gt;"",H12-IF(I12&lt;&gt;"",I12,0),""))</f>
        <v>451.44</v>
      </c>
      <c r="K12" s="18">
        <f>IF(J12&lt;&gt;"",J12*0.25,"")</f>
        <v>112.86</v>
      </c>
      <c r="L12" s="9">
        <f>IF(B12="Airbnb",IF(H12&lt;&gt;"",H12*0.03,""),IF(B12="Booking.com",IF(H12&lt;&gt;"",H12*0.15,""),""))</f>
        <v>81</v>
      </c>
      <c r="M12" s="9">
        <f>IF(B12="Airbnb",IF(L12&lt;&gt;"",L12*0.2,""),IF(B12="Booking.com",IF(H12&lt;&gt;"",H12*0.014,""),""))</f>
        <v>7.5600000000000005</v>
      </c>
      <c r="N12" s="14" t="str">
        <f ca="1">IF(D12="","",IF(E12&lt;TODAY(),"✅ Terminée",IF(D12&lt;=TODAY(),"🟡 En cours","🔵 À venir")))</f>
        <v>🔵 À venir</v>
      </c>
      <c r="O12" s="19" t="s">
        <v>39</v>
      </c>
      <c r="P12" s="20" t="s">
        <v>57</v>
      </c>
    </row>
    <row r="13" spans="1:16" ht="21.75" customHeight="1" x14ac:dyDescent="0.25">
      <c r="A13" s="4">
        <v>11</v>
      </c>
      <c r="B13" s="5" t="s">
        <v>20</v>
      </c>
      <c r="C13" s="21" t="s">
        <v>60</v>
      </c>
      <c r="D13" s="7">
        <v>46291</v>
      </c>
      <c r="E13" s="7">
        <v>46295</v>
      </c>
      <c r="F13" s="14">
        <f>IF(AND(D13&lt;&gt;"",E13&lt;&gt;""),E13-D13,"")</f>
        <v>4</v>
      </c>
      <c r="G13" s="5">
        <v>7</v>
      </c>
      <c r="H13" s="17">
        <v>680</v>
      </c>
      <c r="I13" s="9">
        <f>IF(B13="Direto","",IF(B13="Airbnb",IF(H13&lt;&gt;"",H13*0.03+H13*0.03*0.2,""),IF(B13="Booking.com",IF(H13&lt;&gt;"",H13*0.15+H13*0.014,""),"")))</f>
        <v>111.52</v>
      </c>
      <c r="J13" s="18">
        <f>IF(B13="Direto",IF(H13&lt;&gt;"",H13,""),IF(H13&lt;&gt;"",H13-IF(I13&lt;&gt;"",I13,0),""))</f>
        <v>568.48</v>
      </c>
      <c r="K13" s="18">
        <f>IF(J13&lt;&gt;"",J13*0.25,"")</f>
        <v>142.12</v>
      </c>
      <c r="L13" s="9">
        <f>IF(B13="Airbnb",IF(H13&lt;&gt;"",H13*0.03,""),IF(B13="Booking.com",IF(H13&lt;&gt;"",H13*0.15,""),""))</f>
        <v>102</v>
      </c>
      <c r="M13" s="9">
        <f>IF(B13="Airbnb",IF(L13&lt;&gt;"",L13*0.2,""),IF(B13="Booking.com",IF(H13&lt;&gt;"",H13*0.014,""),""))</f>
        <v>9.52</v>
      </c>
      <c r="N13" s="14" t="str">
        <f ca="1">IF(D13="","",IF(E13&lt;TODAY(),"✅ Terminée",IF(D13&lt;=TODAY(),"🟡 En cours","🔵 À venir")))</f>
        <v>🔵 À venir</v>
      </c>
      <c r="O13" s="19" t="s">
        <v>39</v>
      </c>
      <c r="P13" s="20" t="s">
        <v>61</v>
      </c>
    </row>
    <row r="14" spans="1:16" ht="21.75" customHeight="1" x14ac:dyDescent="0.25">
      <c r="A14" s="4">
        <v>12</v>
      </c>
      <c r="B14" s="14" t="s">
        <v>53</v>
      </c>
      <c r="C14" s="22" t="s">
        <v>54</v>
      </c>
      <c r="D14" s="16">
        <v>46175</v>
      </c>
      <c r="E14" s="16">
        <v>46178</v>
      </c>
      <c r="F14" s="14">
        <f>IF(AND(D14&lt;&gt;"",E14&lt;&gt;""),E14-D14,"")</f>
        <v>3</v>
      </c>
      <c r="G14" s="14">
        <v>5</v>
      </c>
      <c r="H14" s="17">
        <v>364.5</v>
      </c>
      <c r="I14" s="9"/>
      <c r="J14" s="18">
        <v>328.67</v>
      </c>
      <c r="K14" s="18">
        <f>IF(J14&lt;&gt;"",J14*0.25,"")</f>
        <v>82.167500000000004</v>
      </c>
      <c r="L14" s="9"/>
      <c r="M14" s="9"/>
      <c r="N14" s="14" t="str">
        <f ca="1">IF(D14="","",IF(E14&lt;TODAY(),"✅ Terminée",IF(D14&lt;=TODAY(),"🟡 En cours","🔵 À venir")))</f>
        <v>✅ Terminée</v>
      </c>
      <c r="O14" s="19" t="s">
        <v>39</v>
      </c>
      <c r="P14" s="20" t="s">
        <v>55</v>
      </c>
    </row>
    <row r="15" spans="1:16" ht="21.75" customHeight="1" x14ac:dyDescent="0.25">
      <c r="A15" s="13">
        <v>13</v>
      </c>
      <c r="B15" s="14" t="s">
        <v>51</v>
      </c>
      <c r="C15" s="22" t="s">
        <v>52</v>
      </c>
      <c r="D15" s="16">
        <v>46143</v>
      </c>
      <c r="E15" s="16">
        <v>46144</v>
      </c>
      <c r="F15" s="14">
        <f>IF(AND(D15&lt;&gt;"",E15&lt;&gt;""),E15-D15,"")</f>
        <v>1</v>
      </c>
      <c r="G15" s="14">
        <v>3</v>
      </c>
      <c r="H15" s="17">
        <v>130</v>
      </c>
      <c r="I15" s="9" t="str">
        <f>IF(B15="Direto","",IF(B15="Airbnb",IF(H15&lt;&gt;"",H15*0.03+H15*0.03*0.2,""),IF(B15="Booking.com",IF(H15&lt;&gt;"",H15*0.15+H15*0.014,""),"")))</f>
        <v/>
      </c>
      <c r="J15" s="18">
        <f>IF(B15="Direto",IF(H15&lt;&gt;"",H15,""),IF(H15&lt;&gt;"",H15-IF(I15&lt;&gt;"",I15,0),""))</f>
        <v>130</v>
      </c>
      <c r="K15" s="18">
        <f>IF(J15&lt;&gt;"",J15*0.25,"")</f>
        <v>32.5</v>
      </c>
      <c r="L15" s="9" t="str">
        <f>IF(B15="Airbnb",IF(H15&lt;&gt;"",H15*0.03,""),IF(B15="Booking.com",IF(H15&lt;&gt;"",H15*0.15,""),""))</f>
        <v/>
      </c>
      <c r="M15" s="9" t="str">
        <f>IF(B15="Airbnb",IF(L15&lt;&gt;"",L15*0.2,""),IF(B15="Booking.com",IF(H15&lt;&gt;"",H15*0.014,""),""))</f>
        <v/>
      </c>
      <c r="N15" s="14" t="str">
        <f ca="1">IF(D15="","",IF(E15&lt;TODAY(),"✅ Terminée",IF(D15&lt;=TODAY(),"🟡 En cours","🔵 À venir")))</f>
        <v>✅ Terminée</v>
      </c>
      <c r="O15" s="19" t="s">
        <v>39</v>
      </c>
      <c r="P15" s="20" t="s">
        <v>50</v>
      </c>
    </row>
    <row r="16" spans="1:16" ht="21.75" customHeight="1" x14ac:dyDescent="0.25">
      <c r="A16" s="4">
        <v>14</v>
      </c>
      <c r="B16" s="5" t="s">
        <v>20</v>
      </c>
      <c r="C16" s="21" t="s">
        <v>63</v>
      </c>
      <c r="D16" s="7">
        <v>46275</v>
      </c>
      <c r="E16" s="7">
        <v>46279</v>
      </c>
      <c r="F16" s="5">
        <f t="shared" si="0"/>
        <v>4</v>
      </c>
      <c r="G16" s="5">
        <v>3</v>
      </c>
      <c r="H16" s="8">
        <v>600</v>
      </c>
      <c r="I16" s="9">
        <f t="shared" si="1"/>
        <v>98.4</v>
      </c>
      <c r="J16" s="10">
        <f t="shared" si="2"/>
        <v>501.6</v>
      </c>
      <c r="K16" s="10">
        <f t="shared" si="3"/>
        <v>125.4</v>
      </c>
      <c r="L16" s="9">
        <f t="shared" si="4"/>
        <v>90</v>
      </c>
      <c r="M16" s="9">
        <f t="shared" si="5"/>
        <v>8.4</v>
      </c>
      <c r="N16" s="5" t="str">
        <f t="shared" ca="1" si="6"/>
        <v>🔵 À venir</v>
      </c>
      <c r="O16" s="11" t="s">
        <v>39</v>
      </c>
      <c r="P16" s="12" t="s">
        <v>65</v>
      </c>
    </row>
    <row r="17" spans="1:16" ht="21.75" customHeight="1" x14ac:dyDescent="0.25">
      <c r="A17" s="4">
        <v>15</v>
      </c>
      <c r="B17" s="14" t="s">
        <v>20</v>
      </c>
      <c r="C17" s="22" t="s">
        <v>64</v>
      </c>
      <c r="D17" s="16">
        <v>46521</v>
      </c>
      <c r="E17" s="16">
        <v>46523</v>
      </c>
      <c r="F17" s="14">
        <f t="shared" si="0"/>
        <v>2</v>
      </c>
      <c r="G17" s="14">
        <v>4</v>
      </c>
      <c r="H17" s="17">
        <v>270</v>
      </c>
      <c r="I17" s="9">
        <f t="shared" si="1"/>
        <v>44.28</v>
      </c>
      <c r="J17" s="37">
        <f t="shared" si="2"/>
        <v>225.72</v>
      </c>
      <c r="K17" s="18">
        <f t="shared" si="3"/>
        <v>56.43</v>
      </c>
      <c r="L17" s="9">
        <f t="shared" si="4"/>
        <v>40.5</v>
      </c>
      <c r="M17" s="9">
        <f t="shared" si="5"/>
        <v>3.7800000000000002</v>
      </c>
      <c r="N17" s="14" t="str">
        <f t="shared" ca="1" si="6"/>
        <v>🔵 À venir</v>
      </c>
      <c r="O17" s="19" t="s">
        <v>39</v>
      </c>
      <c r="P17" s="20" t="s">
        <v>66</v>
      </c>
    </row>
    <row r="18" spans="1:16" x14ac:dyDescent="0.25">
      <c r="A18" s="13">
        <v>16</v>
      </c>
      <c r="B18" s="5" t="s">
        <v>17</v>
      </c>
      <c r="C18" s="21" t="s">
        <v>67</v>
      </c>
      <c r="D18" s="16">
        <v>46166</v>
      </c>
      <c r="E18" s="16">
        <v>46169</v>
      </c>
      <c r="F18" s="5">
        <f t="shared" si="0"/>
        <v>3</v>
      </c>
      <c r="G18" s="5">
        <v>4</v>
      </c>
      <c r="H18" s="8">
        <v>405</v>
      </c>
      <c r="I18" s="9">
        <f t="shared" si="1"/>
        <v>14.58</v>
      </c>
      <c r="J18" s="10">
        <f t="shared" si="2"/>
        <v>390.42</v>
      </c>
      <c r="K18" s="10">
        <f t="shared" si="3"/>
        <v>97.605000000000004</v>
      </c>
      <c r="L18" s="9">
        <f t="shared" si="4"/>
        <v>12.15</v>
      </c>
      <c r="M18" s="9">
        <f t="shared" si="5"/>
        <v>2.4300000000000002</v>
      </c>
      <c r="N18" s="5" t="str">
        <f t="shared" ca="1" si="6"/>
        <v>✅ Terminée</v>
      </c>
      <c r="O18" s="11" t="s">
        <v>40</v>
      </c>
      <c r="P18" s="12" t="s">
        <v>68</v>
      </c>
    </row>
    <row r="19" spans="1:16" x14ac:dyDescent="0.25">
      <c r="A19" s="4">
        <v>17</v>
      </c>
      <c r="B19" s="14" t="s">
        <v>51</v>
      </c>
      <c r="C19" s="22" t="s">
        <v>69</v>
      </c>
      <c r="D19" s="16">
        <v>46219</v>
      </c>
      <c r="E19" s="16">
        <v>46223</v>
      </c>
      <c r="F19" s="14">
        <f t="shared" si="0"/>
        <v>4</v>
      </c>
      <c r="G19" s="14" t="s">
        <v>70</v>
      </c>
      <c r="H19" s="17">
        <v>120</v>
      </c>
      <c r="I19" s="9" t="str">
        <f t="shared" si="1"/>
        <v/>
      </c>
      <c r="J19" s="18">
        <f>Tableau1[[#This Row],[Prix brut (€)]]*Tableau1[[#This Row],[Nuits]]</f>
        <v>480</v>
      </c>
      <c r="K19" s="18">
        <f t="shared" si="3"/>
        <v>120</v>
      </c>
      <c r="L19" s="9" t="str">
        <f t="shared" si="4"/>
        <v/>
      </c>
      <c r="M19" s="9" t="str">
        <f t="shared" si="5"/>
        <v/>
      </c>
      <c r="N19" s="14" t="str">
        <f t="shared" ca="1" si="6"/>
        <v>🔵 À venir</v>
      </c>
      <c r="O19" s="19" t="s">
        <v>70</v>
      </c>
      <c r="P19" s="20" t="s">
        <v>70</v>
      </c>
    </row>
    <row r="20" spans="1:16" x14ac:dyDescent="0.25">
      <c r="A20" s="13">
        <v>18</v>
      </c>
      <c r="B20" s="5" t="s">
        <v>20</v>
      </c>
      <c r="C20" s="21" t="s">
        <v>71</v>
      </c>
      <c r="D20" s="16">
        <v>46251</v>
      </c>
      <c r="E20" s="16">
        <v>46264</v>
      </c>
      <c r="F20" s="5">
        <f t="shared" si="0"/>
        <v>13</v>
      </c>
      <c r="G20" s="5">
        <v>4</v>
      </c>
      <c r="H20" s="8">
        <v>1950</v>
      </c>
      <c r="I20" s="9">
        <f t="shared" si="1"/>
        <v>319.8</v>
      </c>
      <c r="J20" s="10">
        <f t="shared" si="2"/>
        <v>1630.2</v>
      </c>
      <c r="K20" s="10">
        <f t="shared" si="3"/>
        <v>407.55</v>
      </c>
      <c r="L20" s="9">
        <f t="shared" si="4"/>
        <v>292.5</v>
      </c>
      <c r="M20" s="9">
        <f t="shared" si="5"/>
        <v>27.3</v>
      </c>
      <c r="N20" s="5" t="str">
        <f t="shared" ca="1" si="6"/>
        <v>🔵 À venir</v>
      </c>
      <c r="O20" s="11" t="s">
        <v>39</v>
      </c>
      <c r="P20" s="12" t="s">
        <v>72</v>
      </c>
    </row>
    <row r="21" spans="1:16" x14ac:dyDescent="0.25">
      <c r="A21" s="4">
        <v>19</v>
      </c>
      <c r="B21" s="14"/>
      <c r="C21" s="22"/>
      <c r="D21" s="16"/>
      <c r="E21" s="16"/>
      <c r="F21" s="14" t="str">
        <f t="shared" si="0"/>
        <v/>
      </c>
      <c r="G21" s="14"/>
      <c r="H21" s="17"/>
      <c r="I21" s="9" t="str">
        <f t="shared" si="1"/>
        <v/>
      </c>
      <c r="J21" s="18" t="str">
        <f t="shared" si="2"/>
        <v/>
      </c>
      <c r="K21" s="18" t="str">
        <f t="shared" si="3"/>
        <v/>
      </c>
      <c r="L21" s="9" t="str">
        <f t="shared" si="4"/>
        <v/>
      </c>
      <c r="M21" s="9" t="str">
        <f t="shared" si="5"/>
        <v/>
      </c>
      <c r="N21" s="14" t="str">
        <f t="shared" ca="1" si="6"/>
        <v/>
      </c>
      <c r="O21" s="19"/>
      <c r="P21" s="20"/>
    </row>
    <row r="22" spans="1:16" hidden="1" x14ac:dyDescent="0.25">
      <c r="A22" s="4">
        <v>20</v>
      </c>
      <c r="B22" s="5"/>
      <c r="C22" s="21"/>
      <c r="D22" s="7"/>
      <c r="E22" s="7"/>
      <c r="F22" s="5" t="str">
        <f t="shared" si="0"/>
        <v/>
      </c>
      <c r="G22" s="5"/>
      <c r="H22" s="8"/>
      <c r="I22" s="9" t="str">
        <f t="shared" si="1"/>
        <v/>
      </c>
      <c r="J22" s="10" t="str">
        <f t="shared" si="2"/>
        <v/>
      </c>
      <c r="K22" s="10" t="str">
        <f t="shared" si="3"/>
        <v/>
      </c>
      <c r="L22" s="9" t="str">
        <f t="shared" si="4"/>
        <v/>
      </c>
      <c r="M22" s="9" t="str">
        <f t="shared" si="5"/>
        <v/>
      </c>
      <c r="N22" s="5" t="str">
        <f t="shared" ca="1" si="6"/>
        <v/>
      </c>
      <c r="O22" s="11"/>
      <c r="P22" s="12"/>
    </row>
    <row r="23" spans="1:16" hidden="1" x14ac:dyDescent="0.25">
      <c r="A23" s="13">
        <v>21</v>
      </c>
      <c r="B23" s="14"/>
      <c r="C23" s="22"/>
      <c r="D23" s="16"/>
      <c r="E23" s="16"/>
      <c r="F23" s="14" t="str">
        <f t="shared" si="0"/>
        <v/>
      </c>
      <c r="G23" s="14"/>
      <c r="H23" s="17"/>
      <c r="I23" s="9" t="str">
        <f t="shared" si="1"/>
        <v/>
      </c>
      <c r="J23" s="18" t="str">
        <f t="shared" si="2"/>
        <v/>
      </c>
      <c r="K23" s="18" t="str">
        <f t="shared" si="3"/>
        <v/>
      </c>
      <c r="L23" s="9" t="str">
        <f t="shared" si="4"/>
        <v/>
      </c>
      <c r="M23" s="9" t="str">
        <f t="shared" si="5"/>
        <v/>
      </c>
      <c r="N23" s="14" t="str">
        <f t="shared" ca="1" si="6"/>
        <v/>
      </c>
      <c r="O23" s="19"/>
      <c r="P23" s="20"/>
    </row>
    <row r="24" spans="1:16" hidden="1" x14ac:dyDescent="0.25">
      <c r="A24" s="4">
        <v>22</v>
      </c>
      <c r="B24" s="5"/>
      <c r="C24" s="21"/>
      <c r="D24" s="7"/>
      <c r="E24" s="7"/>
      <c r="F24" s="14" t="str">
        <f t="shared" si="0"/>
        <v/>
      </c>
      <c r="G24" s="5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idden="1" x14ac:dyDescent="0.25">
      <c r="A25" s="4">
        <v>23</v>
      </c>
      <c r="B25" s="14"/>
      <c r="C25" s="22"/>
      <c r="D25" s="7"/>
      <c r="E25" s="7"/>
      <c r="F25" s="14" t="str">
        <f t="shared" si="0"/>
        <v/>
      </c>
      <c r="G25" s="5"/>
      <c r="H25" s="17"/>
      <c r="I25" s="9" t="str">
        <f t="shared" si="1"/>
        <v/>
      </c>
      <c r="J25" s="18" t="str">
        <f t="shared" si="2"/>
        <v/>
      </c>
      <c r="K25" s="18" t="str">
        <f t="shared" si="3"/>
        <v/>
      </c>
      <c r="L25" s="9" t="str">
        <f t="shared" si="4"/>
        <v/>
      </c>
      <c r="M25" s="9" t="str">
        <f t="shared" si="5"/>
        <v/>
      </c>
      <c r="N25" s="14" t="str">
        <f t="shared" ca="1" si="6"/>
        <v/>
      </c>
      <c r="O25" s="19"/>
      <c r="P25" s="20"/>
    </row>
    <row r="26" spans="1:16" hidden="1" x14ac:dyDescent="0.25">
      <c r="A26" s="13">
        <v>24</v>
      </c>
      <c r="B26" s="5"/>
      <c r="C26" s="21"/>
      <c r="D26" s="7"/>
      <c r="E26" s="7"/>
      <c r="F26" s="14" t="str">
        <f t="shared" si="0"/>
        <v/>
      </c>
      <c r="G26" s="5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idden="1" x14ac:dyDescent="0.25">
      <c r="A27" s="4">
        <v>25</v>
      </c>
      <c r="B27" s="14"/>
      <c r="C27" s="22"/>
      <c r="D27" s="16"/>
      <c r="E27" s="16"/>
      <c r="F27" s="14" t="str">
        <f t="shared" si="0"/>
        <v/>
      </c>
      <c r="G27" s="14"/>
      <c r="H27" s="17"/>
      <c r="I27" s="9" t="str">
        <f t="shared" si="1"/>
        <v/>
      </c>
      <c r="J27" s="18" t="str">
        <f t="shared" si="2"/>
        <v/>
      </c>
      <c r="K27" s="18" t="str">
        <f t="shared" si="3"/>
        <v/>
      </c>
      <c r="L27" s="9" t="str">
        <f t="shared" si="4"/>
        <v/>
      </c>
      <c r="M27" s="9" t="str">
        <f t="shared" si="5"/>
        <v/>
      </c>
      <c r="N27" s="14" t="str">
        <f t="shared" ca="1" si="6"/>
        <v/>
      </c>
      <c r="O27" s="19"/>
      <c r="P27" s="20"/>
    </row>
    <row r="28" spans="1:16" hidden="1" x14ac:dyDescent="0.25">
      <c r="A28" s="13">
        <v>26</v>
      </c>
      <c r="B28" s="5"/>
      <c r="C28" s="21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idden="1" x14ac:dyDescent="0.25">
      <c r="A29" s="4">
        <v>27</v>
      </c>
      <c r="B29" s="14"/>
      <c r="C29" s="22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idden="1" x14ac:dyDescent="0.25">
      <c r="A30" s="4">
        <v>28</v>
      </c>
      <c r="B30" s="5"/>
      <c r="C30" s="21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37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idden="1" x14ac:dyDescent="0.25">
      <c r="A31" s="13">
        <v>29</v>
      </c>
      <c r="B31" s="14"/>
      <c r="C31" s="22"/>
      <c r="D31" s="16"/>
      <c r="E31" s="16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idden="1" x14ac:dyDescent="0.25">
      <c r="A32" s="4">
        <v>30</v>
      </c>
      <c r="B32" s="5"/>
      <c r="C32" s="21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idden="1" x14ac:dyDescent="0.25">
      <c r="A33" s="4">
        <v>31</v>
      </c>
      <c r="B33" s="14"/>
      <c r="C33" s="22"/>
      <c r="D33" s="16"/>
      <c r="E33" s="16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idden="1" x14ac:dyDescent="0.25">
      <c r="A34" s="13">
        <v>32</v>
      </c>
      <c r="B34" s="5"/>
      <c r="C34" s="21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idden="1" x14ac:dyDescent="0.25">
      <c r="A35" s="4">
        <v>33</v>
      </c>
      <c r="B35" s="14"/>
      <c r="C35" s="22"/>
      <c r="D35" s="7"/>
      <c r="E35" s="7"/>
      <c r="F35" s="5" t="str">
        <f t="shared" si="0"/>
        <v/>
      </c>
      <c r="G35" s="5"/>
      <c r="H35" s="8"/>
      <c r="I35" s="9" t="str">
        <f t="shared" si="1"/>
        <v/>
      </c>
      <c r="J35" s="10" t="str">
        <f t="shared" si="2"/>
        <v/>
      </c>
      <c r="K35" s="10" t="str">
        <f t="shared" si="3"/>
        <v/>
      </c>
      <c r="L35" s="9" t="str">
        <f t="shared" si="4"/>
        <v/>
      </c>
      <c r="M35" s="9" t="str">
        <f t="shared" si="5"/>
        <v/>
      </c>
      <c r="N35" s="5" t="str">
        <f t="shared" ca="1" si="6"/>
        <v/>
      </c>
      <c r="O35" s="11"/>
      <c r="P35" s="12"/>
    </row>
    <row r="36" spans="1:16" hidden="1" x14ac:dyDescent="0.25">
      <c r="A36" s="13">
        <v>34</v>
      </c>
      <c r="B36" s="5"/>
      <c r="C36" s="21"/>
      <c r="D36" s="16"/>
      <c r="E36" s="16"/>
      <c r="F36" s="14" t="str">
        <f t="shared" ref="F36:F50" si="7">IF(AND(D36&lt;&gt;"",E36&lt;&gt;""),E36-D36,"")</f>
        <v/>
      </c>
      <c r="G36" s="14"/>
      <c r="H36" s="17"/>
      <c r="I36" s="9" t="str">
        <f t="shared" ref="I36:I50" si="8">IF(B36="Direto","",IF(B36="Airbnb",IF(H36&lt;&gt;"",H36*0.03+H36*0.03*0.2,""),IF(B36="Booking.com",IF(H36&lt;&gt;"",H36*0.15+H36*0.014,""),"")))</f>
        <v/>
      </c>
      <c r="J36" s="18" t="str">
        <f t="shared" ref="J36:J50" si="9">IF(B36="Direto",IF(H36&lt;&gt;"",H36,""),IF(H36&lt;&gt;"",H36-IF(I36&lt;&gt;"",I36,0),""))</f>
        <v/>
      </c>
      <c r="K36" s="18" t="str">
        <f t="shared" ref="K36:K50" si="10">IF(J36&lt;&gt;"",J36*0.25,"")</f>
        <v/>
      </c>
      <c r="L36" s="9" t="str">
        <f t="shared" ref="L36:L50" si="11">IF(B36="Airbnb",IF(H36&lt;&gt;"",H36*0.03,""),IF(B36="Booking.com",IF(H36&lt;&gt;"",H36*0.15,""),""))</f>
        <v/>
      </c>
      <c r="M36" s="9" t="str">
        <f t="shared" ref="M36:M50" si="12">IF(B36="Airbnb",IF(L36&lt;&gt;"",L36*0.2,""),IF(B36="Booking.com",IF(H36&lt;&gt;"",H36*0.014,""),""))</f>
        <v/>
      </c>
      <c r="N36" s="14" t="str">
        <f t="shared" ref="N36:N50" ca="1" si="13">IF(D36="","",IF(E36&lt;TODAY(),"✅ Terminée",IF(D36&lt;=TODAY(),"🟡 En cours","🔵 À venir")))</f>
        <v/>
      </c>
      <c r="O36" s="19"/>
      <c r="P36" s="20"/>
    </row>
    <row r="37" spans="1:16" hidden="1" x14ac:dyDescent="0.25">
      <c r="A37" s="4">
        <v>35</v>
      </c>
      <c r="B37" s="14"/>
      <c r="C37" s="22"/>
      <c r="D37" s="7"/>
      <c r="E37" s="7"/>
      <c r="F37" s="14" t="str">
        <f t="shared" si="7"/>
        <v/>
      </c>
      <c r="G37" s="5"/>
      <c r="H37" s="17"/>
      <c r="I37" s="9" t="str">
        <f t="shared" si="8"/>
        <v/>
      </c>
      <c r="J37" s="18" t="str">
        <f t="shared" si="9"/>
        <v/>
      </c>
      <c r="K37" s="18" t="str">
        <f t="shared" si="10"/>
        <v/>
      </c>
      <c r="L37" s="9" t="str">
        <f t="shared" si="11"/>
        <v/>
      </c>
      <c r="M37" s="9" t="str">
        <f t="shared" si="12"/>
        <v/>
      </c>
      <c r="N37" s="14" t="str">
        <f t="shared" ca="1" si="13"/>
        <v/>
      </c>
      <c r="O37" s="19"/>
      <c r="P37" s="20"/>
    </row>
    <row r="38" spans="1:16" hidden="1" x14ac:dyDescent="0.25">
      <c r="A38" s="4">
        <v>36</v>
      </c>
      <c r="B38" s="5"/>
      <c r="C38" s="21"/>
      <c r="D38" s="7"/>
      <c r="E38" s="7"/>
      <c r="F38" s="14" t="str">
        <f t="shared" si="7"/>
        <v/>
      </c>
      <c r="G38" s="5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idden="1" x14ac:dyDescent="0.25">
      <c r="A39" s="13">
        <v>37</v>
      </c>
      <c r="B39" s="14"/>
      <c r="C39" s="22"/>
      <c r="D39" s="7"/>
      <c r="E39" s="7"/>
      <c r="F39" s="14" t="str">
        <f t="shared" si="7"/>
        <v/>
      </c>
      <c r="G39" s="5"/>
      <c r="H39" s="17"/>
      <c r="I39" s="9" t="str">
        <f t="shared" si="8"/>
        <v/>
      </c>
      <c r="J39" s="18" t="str">
        <f t="shared" si="9"/>
        <v/>
      </c>
      <c r="K39" s="18" t="str">
        <f t="shared" si="10"/>
        <v/>
      </c>
      <c r="L39" s="9" t="str">
        <f t="shared" si="11"/>
        <v/>
      </c>
      <c r="M39" s="9" t="str">
        <f t="shared" si="12"/>
        <v/>
      </c>
      <c r="N39" s="14" t="str">
        <f t="shared" ca="1" si="13"/>
        <v/>
      </c>
      <c r="O39" s="19"/>
      <c r="P39" s="20"/>
    </row>
    <row r="40" spans="1:16" hidden="1" x14ac:dyDescent="0.25">
      <c r="A40" s="4">
        <v>38</v>
      </c>
      <c r="B40" s="5"/>
      <c r="C40" s="21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idden="1" x14ac:dyDescent="0.25">
      <c r="A41" s="4">
        <v>39</v>
      </c>
      <c r="B41" s="14"/>
      <c r="C41" s="22"/>
      <c r="D41" s="16"/>
      <c r="E41" s="16"/>
      <c r="F41" s="14" t="str">
        <f t="shared" si="7"/>
        <v/>
      </c>
      <c r="G41" s="14"/>
      <c r="H41" s="17"/>
      <c r="I41" s="9" t="str">
        <f t="shared" si="8"/>
        <v/>
      </c>
      <c r="J41" s="18" t="str">
        <f t="shared" si="9"/>
        <v/>
      </c>
      <c r="K41" s="18" t="str">
        <f t="shared" si="10"/>
        <v/>
      </c>
      <c r="L41" s="9" t="str">
        <f t="shared" si="11"/>
        <v/>
      </c>
      <c r="M41" s="9" t="str">
        <f t="shared" si="12"/>
        <v/>
      </c>
      <c r="N41" s="14" t="str">
        <f t="shared" ca="1" si="13"/>
        <v/>
      </c>
      <c r="O41" s="19"/>
      <c r="P41" s="20"/>
    </row>
    <row r="42" spans="1:16" hidden="1" x14ac:dyDescent="0.25">
      <c r="A42" s="13">
        <v>40</v>
      </c>
      <c r="B42" s="5"/>
      <c r="C42" s="21"/>
      <c r="D42" s="7"/>
      <c r="E42" s="7"/>
      <c r="F42" s="5" t="str">
        <f t="shared" si="7"/>
        <v/>
      </c>
      <c r="G42" s="5"/>
      <c r="H42" s="8"/>
      <c r="I42" s="9" t="str">
        <f t="shared" si="8"/>
        <v/>
      </c>
      <c r="J42" s="10" t="str">
        <f t="shared" si="9"/>
        <v/>
      </c>
      <c r="K42" s="10" t="str">
        <f t="shared" si="10"/>
        <v/>
      </c>
      <c r="L42" s="9" t="str">
        <f t="shared" si="11"/>
        <v/>
      </c>
      <c r="M42" s="9" t="str">
        <f t="shared" si="12"/>
        <v/>
      </c>
      <c r="N42" s="5" t="str">
        <f t="shared" ca="1" si="13"/>
        <v/>
      </c>
      <c r="O42" s="11"/>
      <c r="P42" s="12"/>
    </row>
    <row r="43" spans="1:16" hidden="1" x14ac:dyDescent="0.25">
      <c r="A43" s="4">
        <v>41</v>
      </c>
      <c r="B43" s="14"/>
      <c r="C43" s="22"/>
      <c r="D43" s="16"/>
      <c r="E43" s="16"/>
      <c r="F43" s="14" t="str">
        <f t="shared" si="7"/>
        <v/>
      </c>
      <c r="G43" s="14"/>
      <c r="H43" s="17"/>
      <c r="I43" s="9" t="str">
        <f t="shared" si="8"/>
        <v/>
      </c>
      <c r="J43" s="37" t="str">
        <f t="shared" si="9"/>
        <v/>
      </c>
      <c r="K43" s="18" t="str">
        <f t="shared" si="10"/>
        <v/>
      </c>
      <c r="L43" s="9" t="str">
        <f t="shared" si="11"/>
        <v/>
      </c>
      <c r="M43" s="9" t="str">
        <f t="shared" si="12"/>
        <v/>
      </c>
      <c r="N43" s="14" t="str">
        <f t="shared" ca="1" si="13"/>
        <v/>
      </c>
      <c r="O43" s="19"/>
      <c r="P43" s="20"/>
    </row>
    <row r="44" spans="1:16" hidden="1" x14ac:dyDescent="0.25">
      <c r="A44" s="13">
        <v>42</v>
      </c>
      <c r="B44" s="5"/>
      <c r="C44" s="21"/>
      <c r="D44" s="16"/>
      <c r="E44" s="16"/>
      <c r="F44" s="5" t="str">
        <f t="shared" si="7"/>
        <v/>
      </c>
      <c r="G44" s="5"/>
      <c r="H44" s="8"/>
      <c r="I44" s="9" t="str">
        <f t="shared" si="8"/>
        <v/>
      </c>
      <c r="J44" s="10" t="str">
        <f t="shared" si="9"/>
        <v/>
      </c>
      <c r="K44" s="10" t="str">
        <f t="shared" si="10"/>
        <v/>
      </c>
      <c r="L44" s="9" t="str">
        <f t="shared" si="11"/>
        <v/>
      </c>
      <c r="M44" s="9" t="str">
        <f t="shared" si="12"/>
        <v/>
      </c>
      <c r="N44" s="5" t="str">
        <f t="shared" ca="1" si="13"/>
        <v/>
      </c>
      <c r="O44" s="11"/>
      <c r="P44" s="12"/>
    </row>
    <row r="45" spans="1:16" hidden="1" x14ac:dyDescent="0.25">
      <c r="A45" s="4">
        <v>43</v>
      </c>
      <c r="B45" s="14"/>
      <c r="C45" s="22"/>
      <c r="D45" s="16"/>
      <c r="E45" s="16"/>
      <c r="F45" s="14" t="str">
        <f t="shared" si="7"/>
        <v/>
      </c>
      <c r="G45" s="14"/>
      <c r="H45" s="17"/>
      <c r="I45" s="9" t="str">
        <f t="shared" si="8"/>
        <v/>
      </c>
      <c r="J45" s="18" t="str">
        <f t="shared" si="9"/>
        <v/>
      </c>
      <c r="K45" s="18" t="str">
        <f t="shared" si="10"/>
        <v/>
      </c>
      <c r="L45" s="9" t="str">
        <f t="shared" si="11"/>
        <v/>
      </c>
      <c r="M45" s="9" t="str">
        <f t="shared" si="12"/>
        <v/>
      </c>
      <c r="N45" s="14" t="str">
        <f t="shared" ca="1" si="13"/>
        <v/>
      </c>
      <c r="O45" s="19"/>
      <c r="P45" s="20"/>
    </row>
    <row r="46" spans="1:16" hidden="1" x14ac:dyDescent="0.25">
      <c r="A46" s="4">
        <v>44</v>
      </c>
      <c r="B46" s="5"/>
      <c r="C46" s="21"/>
      <c r="D46" s="16"/>
      <c r="E46" s="16"/>
      <c r="F46" s="5" t="str">
        <f t="shared" si="7"/>
        <v/>
      </c>
      <c r="G46" s="5"/>
      <c r="H46" s="8"/>
      <c r="I46" s="9" t="str">
        <f t="shared" si="8"/>
        <v/>
      </c>
      <c r="J46" s="10" t="str">
        <f t="shared" si="9"/>
        <v/>
      </c>
      <c r="K46" s="10" t="str">
        <f t="shared" si="10"/>
        <v/>
      </c>
      <c r="L46" s="9" t="str">
        <f t="shared" si="11"/>
        <v/>
      </c>
      <c r="M46" s="9" t="str">
        <f t="shared" si="12"/>
        <v/>
      </c>
      <c r="N46" s="5" t="str">
        <f t="shared" ca="1" si="13"/>
        <v/>
      </c>
      <c r="O46" s="11"/>
      <c r="P46" s="12"/>
    </row>
    <row r="47" spans="1:16" hidden="1" x14ac:dyDescent="0.25">
      <c r="A47" s="13">
        <v>45</v>
      </c>
      <c r="B47" s="14"/>
      <c r="C47" s="22"/>
      <c r="D47" s="16"/>
      <c r="E47" s="16"/>
      <c r="F47" s="14" t="str">
        <f t="shared" si="7"/>
        <v/>
      </c>
      <c r="G47" s="14"/>
      <c r="H47" s="17"/>
      <c r="I47" s="9" t="str">
        <f t="shared" si="8"/>
        <v/>
      </c>
      <c r="J47" s="18" t="str">
        <f t="shared" si="9"/>
        <v/>
      </c>
      <c r="K47" s="18" t="str">
        <f t="shared" si="10"/>
        <v/>
      </c>
      <c r="L47" s="9" t="str">
        <f t="shared" si="11"/>
        <v/>
      </c>
      <c r="M47" s="9" t="str">
        <f t="shared" si="12"/>
        <v/>
      </c>
      <c r="N47" s="14" t="str">
        <f t="shared" ca="1" si="13"/>
        <v/>
      </c>
      <c r="O47" s="19"/>
      <c r="P47" s="20"/>
    </row>
    <row r="48" spans="1:16" hidden="1" x14ac:dyDescent="0.25">
      <c r="A48" s="4">
        <v>46</v>
      </c>
      <c r="B48" s="5"/>
      <c r="C48" s="21"/>
      <c r="D48" s="7"/>
      <c r="E48" s="7"/>
      <c r="F48" s="5" t="str">
        <f t="shared" si="7"/>
        <v/>
      </c>
      <c r="G48" s="5"/>
      <c r="H48" s="8"/>
      <c r="I48" s="9" t="str">
        <f t="shared" si="8"/>
        <v/>
      </c>
      <c r="J48" s="10" t="str">
        <f t="shared" si="9"/>
        <v/>
      </c>
      <c r="K48" s="10" t="str">
        <f t="shared" si="10"/>
        <v/>
      </c>
      <c r="L48" s="9" t="str">
        <f t="shared" si="11"/>
        <v/>
      </c>
      <c r="M48" s="9" t="str">
        <f t="shared" si="12"/>
        <v/>
      </c>
      <c r="N48" s="5" t="str">
        <f t="shared" ca="1" si="13"/>
        <v/>
      </c>
      <c r="O48" s="11"/>
      <c r="P48" s="12"/>
    </row>
    <row r="49" spans="1:16" hidden="1" x14ac:dyDescent="0.25">
      <c r="A49" s="4">
        <v>47</v>
      </c>
      <c r="B49" s="14"/>
      <c r="C49" s="22"/>
      <c r="D49" s="16"/>
      <c r="E49" s="16"/>
      <c r="F49" s="14" t="str">
        <f t="shared" si="7"/>
        <v/>
      </c>
      <c r="G49" s="14"/>
      <c r="H49" s="17"/>
      <c r="I49" s="9" t="str">
        <f t="shared" si="8"/>
        <v/>
      </c>
      <c r="J49" s="18" t="str">
        <f t="shared" si="9"/>
        <v/>
      </c>
      <c r="K49" s="18" t="str">
        <f t="shared" si="10"/>
        <v/>
      </c>
      <c r="L49" s="9" t="str">
        <f t="shared" si="11"/>
        <v/>
      </c>
      <c r="M49" s="9" t="str">
        <f t="shared" si="12"/>
        <v/>
      </c>
      <c r="N49" s="14" t="str">
        <f t="shared" ca="1" si="13"/>
        <v/>
      </c>
      <c r="O49" s="19"/>
      <c r="P49" s="20"/>
    </row>
    <row r="50" spans="1:16" hidden="1" x14ac:dyDescent="0.25">
      <c r="A50" s="13">
        <v>48</v>
      </c>
      <c r="B50" s="5"/>
      <c r="C50" s="21"/>
      <c r="D50" s="7"/>
      <c r="E50" s="7"/>
      <c r="F50" s="14" t="str">
        <f t="shared" si="7"/>
        <v/>
      </c>
      <c r="G50" s="5"/>
      <c r="H50" s="17"/>
      <c r="I50" s="9" t="str">
        <f t="shared" si="8"/>
        <v/>
      </c>
      <c r="J50" s="18" t="str">
        <f t="shared" si="9"/>
        <v/>
      </c>
      <c r="K50" s="18" t="str">
        <f t="shared" si="10"/>
        <v/>
      </c>
      <c r="L50" s="9" t="str">
        <f t="shared" si="11"/>
        <v/>
      </c>
      <c r="M50" s="9" t="str">
        <f t="shared" si="12"/>
        <v/>
      </c>
      <c r="N50" s="14" t="str">
        <f t="shared" ca="1" si="13"/>
        <v/>
      </c>
      <c r="O50" s="19"/>
      <c r="P50" s="20"/>
    </row>
    <row r="51" spans="1:16" ht="15" customHeight="1" x14ac:dyDescent="0.25">
      <c r="A51" s="4">
        <v>49</v>
      </c>
      <c r="B51" s="38"/>
      <c r="C51" s="38"/>
      <c r="D51" s="38"/>
      <c r="E51" s="38"/>
      <c r="F51" s="38"/>
      <c r="G51" s="38"/>
      <c r="H51" s="23">
        <f t="shared" ref="H51:M51" si="14">SUMIF(H3:H50,"&gt;0")</f>
        <v>8433.5400000000009</v>
      </c>
      <c r="I51" s="24">
        <f t="shared" si="14"/>
        <v>1122.9625599999999</v>
      </c>
      <c r="J51" s="23">
        <f t="shared" si="14"/>
        <v>7576.90744</v>
      </c>
      <c r="K51" s="23">
        <f t="shared" si="14"/>
        <v>1894.22686</v>
      </c>
      <c r="L51" s="24">
        <f t="shared" si="14"/>
        <v>1023.456</v>
      </c>
      <c r="M51" s="24">
        <f t="shared" si="14"/>
        <v>99.506560000000022</v>
      </c>
      <c r="N51" s="25" t="str">
        <f ca="1">COUNTIF(N3:N10,"✅ Terminée")&amp;" terminée(s)"</f>
        <v>6 terminée(s)</v>
      </c>
      <c r="O51" s="26"/>
      <c r="P51" s="26"/>
    </row>
    <row r="52" spans="1:16" ht="25.5" customHeight="1" x14ac:dyDescent="0.25">
      <c r="J52" s="27">
        <f>J51-K51</f>
        <v>5682.6805800000002</v>
      </c>
    </row>
    <row r="53" spans="1:16" ht="15" customHeight="1" x14ac:dyDescent="0.25">
      <c r="A53" s="41" t="s">
        <v>25</v>
      </c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</row>
    <row r="54" spans="1:16" ht="15" customHeight="1" x14ac:dyDescent="0.25">
      <c r="J54" s="39">
        <f>J52*0.75</f>
        <v>4262.0104350000001</v>
      </c>
    </row>
  </sheetData>
  <mergeCells count="2">
    <mergeCell ref="A1:P1"/>
    <mergeCell ref="A53:P53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0" xr:uid="{00000000-0002-0000-0000-000000000000}">
      <formula1>"Airbnb,Booking.com,Direto"</formula1>
      <formula2>0</formula2>
    </dataValidation>
    <dataValidation type="list" allowBlank="1" sqref="O3:O50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2" t="s">
        <v>26</v>
      </c>
      <c r="B1" s="42"/>
      <c r="C1" s="42"/>
      <c r="D1" s="42"/>
    </row>
    <row r="2" spans="1:4" ht="30" customHeight="1" x14ac:dyDescent="0.25">
      <c r="A2" s="28" t="s">
        <v>27</v>
      </c>
      <c r="B2" s="28" t="s">
        <v>28</v>
      </c>
      <c r="C2" s="28" t="s">
        <v>29</v>
      </c>
      <c r="D2" s="28" t="s">
        <v>30</v>
      </c>
    </row>
    <row r="3" spans="1:4" ht="21.75" customHeight="1" x14ac:dyDescent="0.25">
      <c r="A3" s="29" t="s">
        <v>31</v>
      </c>
      <c r="B3" s="30" t="s">
        <v>32</v>
      </c>
      <c r="C3" s="30" t="s">
        <v>33</v>
      </c>
      <c r="D3" s="30" t="s">
        <v>34</v>
      </c>
    </row>
    <row r="4" spans="1:4" ht="21.75" customHeight="1" x14ac:dyDescent="0.25">
      <c r="A4" s="31"/>
      <c r="B4" s="32" t="s">
        <v>35</v>
      </c>
      <c r="C4" s="32" t="s">
        <v>36</v>
      </c>
      <c r="D4" s="32" t="s">
        <v>37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2026-06-11T17:27:23Z</dcterms:modified>
  <dc:language>en-US</dc:language>
</cp:coreProperties>
</file>