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80F13AED-0D59-4134-814B-130816FF495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51" i="1" l="1"/>
  <c r="M51" i="1"/>
  <c r="L51" i="1"/>
  <c r="J51" i="1"/>
  <c r="K51" i="1" s="1"/>
  <c r="I51" i="1"/>
  <c r="F51" i="1"/>
  <c r="H52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K45" i="1"/>
  <c r="J45" i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K41" i="1"/>
  <c r="J41" i="1"/>
  <c r="I41" i="1"/>
  <c r="F41" i="1"/>
  <c r="N40" i="1"/>
  <c r="M40" i="1"/>
  <c r="L40" i="1"/>
  <c r="J40" i="1"/>
  <c r="K40" i="1" s="1"/>
  <c r="I40" i="1"/>
  <c r="F40" i="1"/>
  <c r="N39" i="1"/>
  <c r="M39" i="1"/>
  <c r="L39" i="1"/>
  <c r="K39" i="1"/>
  <c r="J39" i="1"/>
  <c r="I39" i="1"/>
  <c r="F39" i="1"/>
  <c r="N38" i="1"/>
  <c r="M38" i="1"/>
  <c r="L38" i="1"/>
  <c r="J38" i="1"/>
  <c r="K38" i="1" s="1"/>
  <c r="I38" i="1"/>
  <c r="F38" i="1"/>
  <c r="N37" i="1"/>
  <c r="M37" i="1"/>
  <c r="L37" i="1"/>
  <c r="K37" i="1"/>
  <c r="J37" i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K33" i="1"/>
  <c r="J33" i="1"/>
  <c r="I33" i="1"/>
  <c r="F33" i="1"/>
  <c r="N32" i="1"/>
  <c r="M32" i="1"/>
  <c r="L32" i="1"/>
  <c r="J32" i="1"/>
  <c r="K32" i="1" s="1"/>
  <c r="I32" i="1"/>
  <c r="F32" i="1"/>
  <c r="N31" i="1"/>
  <c r="M31" i="1"/>
  <c r="L31" i="1"/>
  <c r="K31" i="1"/>
  <c r="J31" i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K25" i="1"/>
  <c r="J25" i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K21" i="1"/>
  <c r="J21" i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K17" i="1"/>
  <c r="J17" i="1"/>
  <c r="I17" i="1"/>
  <c r="F17" i="1"/>
  <c r="N16" i="1"/>
  <c r="M16" i="1"/>
  <c r="L16" i="1"/>
  <c r="J16" i="1"/>
  <c r="K16" i="1" s="1"/>
  <c r="I16" i="1"/>
  <c r="F16" i="1"/>
  <c r="N15" i="1"/>
  <c r="M15" i="1"/>
  <c r="L15" i="1"/>
  <c r="K15" i="1"/>
  <c r="J15" i="1"/>
  <c r="I15" i="1"/>
  <c r="F15" i="1"/>
  <c r="N14" i="1"/>
  <c r="M14" i="1"/>
  <c r="L14" i="1"/>
  <c r="J14" i="1"/>
  <c r="K14" i="1" s="1"/>
  <c r="I14" i="1"/>
  <c r="F14" i="1"/>
  <c r="N13" i="1"/>
  <c r="M13" i="1"/>
  <c r="L13" i="1"/>
  <c r="K13" i="1"/>
  <c r="J13" i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J8" i="1"/>
  <c r="K8" i="1" s="1"/>
  <c r="I8" i="1"/>
  <c r="F8" i="1"/>
  <c r="N7" i="1"/>
  <c r="M7" i="1"/>
  <c r="L7" i="1"/>
  <c r="I7" i="1"/>
  <c r="J7" i="1" s="1"/>
  <c r="K7" i="1" s="1"/>
  <c r="F7" i="1"/>
  <c r="N6" i="1"/>
  <c r="M6" i="1"/>
  <c r="L6" i="1"/>
  <c r="J6" i="1"/>
  <c r="K6" i="1" s="1"/>
  <c r="I6" i="1"/>
  <c r="F6" i="1"/>
  <c r="N5" i="1"/>
  <c r="M5" i="1"/>
  <c r="L5" i="1"/>
  <c r="I5" i="1"/>
  <c r="J5" i="1" s="1"/>
  <c r="K5" i="1" s="1"/>
  <c r="F5" i="1"/>
  <c r="N4" i="1"/>
  <c r="L4" i="1"/>
  <c r="M4" i="1" s="1"/>
  <c r="J4" i="1"/>
  <c r="K4" i="1" s="1"/>
  <c r="I4" i="1"/>
  <c r="F4" i="1"/>
  <c r="N3" i="1"/>
  <c r="M3" i="1"/>
  <c r="L3" i="1"/>
  <c r="I3" i="1"/>
  <c r="J3" i="1" s="1"/>
  <c r="F3" i="1"/>
  <c r="M52" i="1" l="1"/>
  <c r="L52" i="1"/>
  <c r="N52" i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<sst xmlns="http://schemas.openxmlformats.org/spreadsheetml/2006/main" count="67" uniqueCount="56">
  <si>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</si>
  <si>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</si>
  <si>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</si>
  <si>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</si>
  <si>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</si>
  <si>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</si>
  <si>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</si>
  <si>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</si>
  <si>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</si>
  <si>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</si>
  <si>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</si>
  <si>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</si>
  <si>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</si>
  <si>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</si>
  <si>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</si>
  <si>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</si>
  <si>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</si>
  <si>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</si>
  <si>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</si>
  <si>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</si>
  <si>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</si>
  <si>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</si>
  <si>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</si>
  <si>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</si>
  <si>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</si>
  <si>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</si>
  <si>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Rui Semanas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</si>
  <si>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</si>
  <si>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</si>
  <si>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</si>
  <si>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</si>
  <si>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</si>
  <si>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</si>
  <si>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</si>
  <si>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</si>
  <si>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</si>
  <si>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</si>
  <si>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</si>
  <si>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</si>
  <si>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</si>
  <si>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</si>
  <si>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</si>
  <si>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</si>
  <si>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</si>
  <si>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</si>
  <si>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</si>
  <si>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</si>
  <si>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</si>
  <si>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</si>
  <si>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</si>
  <si>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</si>
  <si>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</si>
  <si>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00351925359867</t>
  </si>
  <si>
    <t>Direto</t>
  </si>
  <si>
    <t>Fernando</t>
  </si>
  <si>
    <t>39325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</si>
</sst>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3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P52" sqref="P52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41</v>
      </c>
      <c r="P3" s="12" t="s">
        <v>45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18">
        <f t="shared" si="2"/>
        <v>289.2</v>
      </c>
      <c r="K4" s="18">
        <f t="shared" si="3"/>
        <v>72.3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42</v>
      </c>
      <c r="P4" s="20" t="s">
        <v>46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🟡 En cours</v>
      </c>
      <c r="O5" s="11" t="s">
        <v>43</v>
      </c>
      <c r="P5" s="12" t="s">
        <v>47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42</v>
      </c>
      <c r="P6" s="20" t="s">
        <v>48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43</v>
      </c>
      <c r="P7" s="12" t="s">
        <v>49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42</v>
      </c>
      <c r="P8" s="20" t="s">
        <v>50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44</v>
      </c>
      <c r="P9" s="12" t="s">
        <v>51</v>
      </c>
    </row>
    <row r="10" spans="1:16" x14ac:dyDescent="0.25">
      <c r="A10" s="13">
        <v>8</v>
      </c>
      <c r="B10" s="14" t="s">
        <v>20</v>
      </c>
      <c r="C10" s="22" t="s">
        <v>26</v>
      </c>
      <c r="D10" s="16">
        <v>46237</v>
      </c>
      <c r="E10" s="16">
        <v>46241</v>
      </c>
      <c r="F10" s="14">
        <f t="shared" si="0"/>
        <v>4</v>
      </c>
      <c r="G10" s="14">
        <v>5</v>
      </c>
      <c r="H10" s="17">
        <v>600</v>
      </c>
      <c r="I10" s="9">
        <f t="shared" si="1"/>
        <v>98.4</v>
      </c>
      <c r="J10" s="18">
        <f t="shared" si="2"/>
        <v>501.6</v>
      </c>
      <c r="K10" s="18">
        <f t="shared" si="3"/>
        <v>125.4</v>
      </c>
      <c r="L10" s="9">
        <f t="shared" si="4"/>
        <v>90</v>
      </c>
      <c r="M10" s="9">
        <f t="shared" si="5"/>
        <v>8.4</v>
      </c>
      <c r="N10" s="14" t="str">
        <f t="shared" ca="1" si="6"/>
        <v>🔵 À venir</v>
      </c>
      <c r="O10" s="19" t="s">
        <v>42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51" si="7">IF(AND(D35&lt;&gt;"",E35&lt;&gt;""),E35-D35,"")</f>
        <v/>
      </c>
      <c r="G35" s="5"/>
      <c r="H35" s="8"/>
      <c r="I35" s="9" t="str">
        <f t="shared" ref="I35:I51" si="8">IF(B35="Direto","",IF(B35="Airbnb",IF(H35&lt;&gt;"",H35*0.03+H35*0.03*0.2,""),IF(B35="Booking.com",IF(H35&lt;&gt;"",H35*0.15+H35*0.014,""),"")))</f>
        <v/>
      </c>
      <c r="J35" s="10" t="str">
        <f t="shared" ref="J35:J51" si="9">IF(B35="Direto",IF(H35&lt;&gt;"",H35,""),IF(H35&lt;&gt;"",H35-IF(I35&lt;&gt;"",I35,0),""))</f>
        <v/>
      </c>
      <c r="K35" s="10" t="str">
        <f t="shared" ref="K35:K51" si="10">IF(J35&lt;&gt;"",J35*0.25,"")</f>
        <v/>
      </c>
      <c r="L35" s="9" t="str">
        <f t="shared" ref="L35:L51" si="11">IF(B35="Airbnb",IF(H35&lt;&gt;"",H35*0.03,""),IF(B35="Booking.com",IF(H35&lt;&gt;"",H35*0.15,""),""))</f>
        <v/>
      </c>
      <c r="M35" s="9" t="str">
        <f t="shared" ref="M35:M51" si="12">IF(B35="Airbnb",IF(L35&lt;&gt;"",L35*0.2,""),IF(B35="Booking.com",IF(H35&lt;&gt;"",H35*0.014,""),""))</f>
        <v/>
      </c>
      <c r="N35" s="5" t="str">
        <f t="shared" ref="N35:N51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idden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idden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idden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hidden="1" x14ac:dyDescent="0.25">
      <c r="A50" s="13">
        <v>48</v>
      </c>
      <c r="B50" s="14"/>
      <c r="C50" s="22"/>
      <c r="D50" s="16"/>
      <c r="E50" s="16"/>
      <c r="F50" s="14" t="str">
        <f t="shared" si="7"/>
        <v/>
      </c>
      <c r="G50" s="14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x14ac:dyDescent="0.25">
      <c r="A51" s="13">
        <v>9</v>
      </c>
      <c r="B51" s="14" t="s">
        <v>53</v>
      </c>
      <c r="C51" s="22" t="s">
        <v>54</v>
      </c>
      <c r="D51" s="16">
        <v>46105</v>
      </c>
      <c r="E51" s="16">
        <v>46109</v>
      </c>
      <c r="F51" s="14">
        <f t="shared" si="7"/>
        <v>4</v>
      </c>
      <c r="G51" s="14">
        <v>2</v>
      </c>
      <c r="H51" s="17">
        <v>600</v>
      </c>
      <c r="I51" s="9" t="str">
        <f t="shared" si="8"/>
        <v/>
      </c>
      <c r="J51" s="18">
        <f t="shared" si="9"/>
        <v>600</v>
      </c>
      <c r="K51" s="18">
        <f t="shared" si="10"/>
        <v>150</v>
      </c>
      <c r="L51" s="9" t="str">
        <f t="shared" si="11"/>
        <v/>
      </c>
      <c r="M51" s="9" t="str">
        <f t="shared" si="12"/>
        <v/>
      </c>
      <c r="N51" s="14" t="str">
        <f t="shared" ca="1" si="13"/>
        <v>🔵 À venir</v>
      </c>
      <c r="O51" s="19" t="s">
        <v>42</v>
      </c>
      <c r="P51" s="20" t="s">
        <v>55</v>
      </c>
    </row>
    <row r="52" spans="1:16" ht="15" customHeight="1" x14ac:dyDescent="0.25">
      <c r="A52" s="38" t="s">
        <v>27</v>
      </c>
      <c r="B52" s="38"/>
      <c r="C52" s="38"/>
      <c r="D52" s="38"/>
      <c r="E52" s="38"/>
      <c r="F52" s="38"/>
      <c r="G52" s="38"/>
      <c r="H52" s="23">
        <f t="shared" ref="H52:M52" si="14">SUMIF(H3:H51,"&gt;0")</f>
        <v>4034.04</v>
      </c>
      <c r="I52" s="24">
        <f t="shared" si="14"/>
        <v>455.66255999999998</v>
      </c>
      <c r="J52" s="23">
        <f t="shared" si="14"/>
        <v>3578.3774399999998</v>
      </c>
      <c r="K52" s="23">
        <f t="shared" si="14"/>
        <v>894.59435999999994</v>
      </c>
      <c r="L52" s="24">
        <f t="shared" si="14"/>
        <v>414.30599999999998</v>
      </c>
      <c r="M52" s="24">
        <f t="shared" si="14"/>
        <v>41.356560000000002</v>
      </c>
      <c r="N52" s="25" t="str">
        <f ca="1">COUNTIF(N3:N10,"✅ Terminée")&amp;" terminée(s)"</f>
        <v>2 terminée(s)</v>
      </c>
      <c r="O52" s="26"/>
      <c r="P52" s="26"/>
    </row>
    <row r="53" spans="1:16" ht="25.5" customHeight="1" x14ac:dyDescent="0.25">
      <c r="J53" s="27">
        <f>J52-K52</f>
        <v>2683.7830799999997</v>
      </c>
    </row>
    <row r="54" spans="1:16" ht="15" customHeight="1" x14ac:dyDescent="0.25">
      <c r="A54" s="39" t="s">
        <v>28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0" t="s">
        <v>29</v>
      </c>
      <c r="B1" s="40"/>
      <c r="C1" s="40"/>
      <c r="D1" s="40"/>
    </row>
    <row r="2" spans="1:4" ht="30" customHeight="1" x14ac:dyDescent="0.25">
      <c r="A2" s="28" t="s">
        <v>30</v>
      </c>
      <c r="B2" s="28" t="s">
        <v>31</v>
      </c>
      <c r="C2" s="28" t="s">
        <v>32</v>
      </c>
      <c r="D2" s="28" t="s">
        <v>33</v>
      </c>
    </row>
    <row r="3" spans="1:4" ht="21.75" customHeight="1" x14ac:dyDescent="0.25">
      <c r="A3" s="29" t="s">
        <v>34</v>
      </c>
      <c r="B3" s="30" t="s">
        <v>35</v>
      </c>
      <c r="C3" s="30" t="s">
        <v>36</v>
      </c>
      <c r="D3" s="30" t="s">
        <v>37</v>
      </c>
    </row>
    <row r="4" spans="1:4" ht="21.75" customHeight="1" x14ac:dyDescent="0.25">
      <c r="A4" s="31"/>
      <c r="B4" s="32" t="s">
        <v>38</v>
      </c>
      <c r="C4" s="32" t="s">
        <v>39</v>
      </c>
      <c r="D4" s="32" t="s">
        <v>40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2026-03-16T18:18:29Z</dcterms:modified>
  <dc:language>en-US</dc:language>
</cp:coreProperties>
</file>